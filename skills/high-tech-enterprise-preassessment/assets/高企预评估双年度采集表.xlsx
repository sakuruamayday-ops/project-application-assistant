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基础与硬门槛" sheetId="2" state="visible" r:id="rId2"/>
    <sheet xmlns:r="http://schemas.openxmlformats.org/officeDocument/2006/relationships" name="财务与成长性" sheetId="3" state="visible" r:id="rId3"/>
    <sheet xmlns:r="http://schemas.openxmlformats.org/officeDocument/2006/relationships" name="知识产权" sheetId="4" state="visible" r:id="rId4"/>
    <sheet xmlns:r="http://schemas.openxmlformats.org/officeDocument/2006/relationships" name="成果转化" sheetId="5" state="visible" r:id="rId5"/>
    <sheet xmlns:r="http://schemas.openxmlformats.org/officeDocument/2006/relationships" name="组织管理" sheetId="6" state="visible" r:id="rId6"/>
    <sheet xmlns:r="http://schemas.openxmlformats.org/officeDocument/2006/relationships" name="双年度评分" sheetId="7" state="visible" r:id="rId7"/>
    <sheet xmlns:r="http://schemas.openxmlformats.org/officeDocument/2006/relationships" name="补强计划" sheetId="8" state="visible" r:id="rId8"/>
    <sheet xmlns:r="http://schemas.openxmlformats.org/officeDocument/2006/relationships" name="规则与来源" sheetId="9" state="visible" r:id="rId9"/>
  </sheets>
  <definedNames>
    <definedName name="_xlnm.Print_Titles" localSheetId="0">'使用说明'!$4:$4</definedName>
    <definedName name="_xlnm.Print_Area" localSheetId="0">'使用说明'!$A$1:$H$20</definedName>
    <definedName name="_xlnm.Print_Titles" localSheetId="1">'基础与硬门槛'!$4:$4</definedName>
    <definedName name="_xlnm.Print_Area" localSheetId="1">'基础与硬门槛'!$A$1:$F$26</definedName>
    <definedName name="_xlnm.Print_Titles" localSheetId="2">'财务与成长性'!$4:$4</definedName>
    <definedName name="_xlnm.Print_Area" localSheetId="2">'财务与成长性'!$A$1:$H$26</definedName>
    <definedName name="_xlnm.Print_Titles" localSheetId="3">'知识产权'!$4:$4</definedName>
    <definedName name="_xlnm.Print_Area" localSheetId="3">'知识产权'!$A$1:$S$104</definedName>
    <definedName name="_xlnm.Print_Titles" localSheetId="4">'成果转化'!$4:$4</definedName>
    <definedName name="_xlnm.Print_Area" localSheetId="4">'成果转化'!$A$1:$P$104</definedName>
    <definedName name="_xlnm.Print_Titles" localSheetId="5">'组织管理'!$4:$4</definedName>
    <definedName name="_xlnm.Print_Area" localSheetId="5">'组织管理'!$A$1:$K$22</definedName>
    <definedName name="_xlnm.Print_Titles" localSheetId="6">'双年度评分'!$4:$4</definedName>
    <definedName name="_xlnm.Print_Area" localSheetId="6">'双年度评分'!$A$1:$J$18</definedName>
    <definedName name="_xlnm.Print_Titles" localSheetId="7">'补强计划'!$4:$4</definedName>
    <definedName name="_xlnm.Print_Area" localSheetId="7">'补强计划'!$A$1:$K$64</definedName>
    <definedName name="_xlnm.Print_Titles" localSheetId="8">'规则与来源'!$4:$4</definedName>
    <definedName name="_xlnm.Print_Area" localSheetId="8">'规则与来源'!$A$1:$F$14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rlito"/>
      <sz val="11"/>
    </font>
    <font>
      <name val="Carlito"/>
      <b val="1"/>
      <color rgb="FFFFFFFF"/>
      <sz val="16"/>
    </font>
    <font>
      <name val="Carlito"/>
      <i val="1"/>
      <color rgb="FF1F2937"/>
      <sz val="10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FFFFFF"/>
      <sz val="11"/>
    </font>
    <font>
      <name val="Aptos"/>
      <b val="1"/>
      <color rgb="FFFFFFFF"/>
      <sz val="16"/>
    </font>
    <font>
      <name val="Aptos"/>
      <i val="1"/>
      <color rgb="FF1F2937"/>
      <sz val="10"/>
    </font>
    <font>
      <name val="Aptos"/>
      <sz val="11"/>
    </font>
    <font>
      <name val="Aptos"/>
      <b val="1"/>
      <color rgb="FF1F2937"/>
      <sz val="11"/>
    </font>
    <font>
      <name val="Aptos"/>
      <color rgb="FF1F2937"/>
      <sz val="11"/>
    </font>
    <font>
      <name val="Aptos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Aptos"/>
      <b val="1"/>
      <color rgb="FF1F2937"/>
      <sz val="10"/>
    </font>
    <font>
      <name val="Aptos"/>
      <color rgb="FF1F2937"/>
      <sz val="10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6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164" fontId="4" fillId="4" borderId="1" applyAlignment="1" pivotButton="0" quotePrefix="0" xfId="0">
      <alignment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1" pivotButton="0" quotePrefix="0" xfId="0"/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 wrapText="1"/>
    </xf>
    <xf numFmtId="10" fontId="4" fillId="6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12" fillId="2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  <xf numFmtId="164" fontId="10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  <xf numFmtId="164" fontId="15" fillId="4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vertical="center" wrapText="1"/>
    </xf>
    <xf numFmtId="4" fontId="10" fillId="4" borderId="1" applyAlignment="1" pivotButton="0" quotePrefix="0" xfId="0">
      <alignment vertical="center" wrapText="1"/>
    </xf>
    <xf numFmtId="3" fontId="10" fillId="4" borderId="1" applyAlignment="1" pivotButton="0" quotePrefix="0" xfId="0">
      <alignment vertical="center" wrapText="1"/>
    </xf>
    <xf numFmtId="10" fontId="10" fillId="6" borderId="1" applyAlignment="1" pivotButton="0" quotePrefix="0" xfId="0">
      <alignment vertical="center" wrapText="1"/>
    </xf>
    <xf numFmtId="4" fontId="15" fillId="4" borderId="1" applyAlignment="1" pivotButton="0" quotePrefix="0" xfId="0">
      <alignment vertical="center" wrapText="1"/>
    </xf>
    <xf numFmtId="3" fontId="15" fillId="4" borderId="1" applyAlignment="1" pivotButton="0" quotePrefix="0" xfId="0">
      <alignment vertical="center" wrapText="1"/>
    </xf>
    <xf numFmtId="10" fontId="15" fillId="6" borderId="1" applyAlignment="1" pivotButton="0" quotePrefix="0" xfId="0">
      <alignment vertical="center" wrapText="1"/>
    </xf>
    <xf numFmtId="1" fontId="10" fillId="0" borderId="1" applyAlignment="1" pivotButton="0" quotePrefix="0" xfId="0">
      <alignment vertical="center" wrapText="1"/>
    </xf>
    <xf numFmtId="1" fontId="15" fillId="0" borderId="1" applyAlignment="1" pivotButton="0" quotePrefix="0" xfId="0">
      <alignment vertical="center" wrapText="1"/>
    </xf>
    <xf numFmtId="2" fontId="10" fillId="6" borderId="1" applyAlignment="1" pivotButton="0" quotePrefix="0" xfId="0">
      <alignment vertical="center" wrapText="1"/>
    </xf>
    <xf numFmtId="2" fontId="15" fillId="6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 wrapText="1"/>
    </xf>
    <xf numFmtId="164" fontId="15" fillId="0" borderId="1" applyAlignment="1" pivotButton="0" quotePrefix="0" xfId="0">
      <alignment vertical="center" wrapText="1"/>
    </xf>
    <xf numFmtId="164" fontId="15" fillId="4" borderId="1" applyAlignment="1" pivotButton="0" quotePrefix="0" xfId="0">
      <alignment vertical="center" wrapText="1"/>
    </xf>
    <xf numFmtId="4" fontId="15" fillId="4" borderId="1" applyAlignment="1" pivotButton="0" quotePrefix="0" xfId="0">
      <alignment vertical="center" wrapText="1"/>
    </xf>
    <xf numFmtId="3" fontId="15" fillId="4" borderId="1" applyAlignment="1" pivotButton="0" quotePrefix="0" xfId="0">
      <alignment vertical="center" wrapText="1"/>
    </xf>
    <xf numFmtId="10" fontId="15" fillId="6" borderId="1" applyAlignment="1" pivotButton="0" quotePrefix="0" xfId="0">
      <alignment vertical="center" wrapText="1"/>
    </xf>
    <xf numFmtId="1" fontId="1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2" fontId="15" fillId="6" borderId="1" applyAlignment="1" pivotButton="0" quotePrefix="0" xfId="0">
      <alignment vertical="center" wrapText="1"/>
    </xf>
    <xf numFmtId="164" fontId="15" fillId="0" borderId="1" applyAlignment="1" pivotButton="0" quotePrefix="0" xfId="0">
      <alignment vertical="center" wrapText="1"/>
    </xf>
  </cellXfs>
  <cellStyles count="1">
    <cellStyle name="Normal" xfId="0"/>
  </cellStyles>
  <dxfs count="7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IPLedger" displayName="IPLedger" ref="A4:S104" headerRowCount="1" totalsRowCount="0" totalsRowShown="0">
  <tableColumns count="19">
    <tableColumn id="1" name="IP编号"/>
    <tableColumn id="2" name="类别"/>
    <tableColumn id="3" name="类型"/>
    <tableColumn id="4" name="名称"/>
    <tableColumn id="5" name="申请号"/>
    <tableColumn id="6" name="授权号"/>
    <tableColumn id="7" name="授权日"/>
    <tableColumn id="8" name="法律状态"/>
    <tableColumn id="9" name="权属符合"/>
    <tableColumn id="10" name="获得方式"/>
    <tableColumn id="11" name="曾申报未通过使用"/>
    <tableColumn id="12" name="曾在通过认定中使用"/>
    <tableColumn id="13" name="对应RD"/>
    <tableColumn id="14" name="核心技术"/>
    <tableColumn id="15" name="对应高品"/>
    <tableColumn id="16" name="核心支持强度"/>
    <tableColumn id="17" name="证据完整度"/>
    <tableColumn id="18" name="本次可用性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versionLedger" displayName="ConversionLedger" ref="A4:P104" headerRowCount="1" totalsRowCount="0" totalsRowShown="0">
  <tableColumns count="16">
    <tableColumn id="1" name="转化编号"/>
    <tableColumn id="2" name="年度"/>
    <tableColumn id="3" name="成果名称"/>
    <tableColumn id="4" name="成果来源类型"/>
    <tableColumn id="5" name="来源编号"/>
    <tableColumn id="6" name="技术边界"/>
    <tableColumn id="7" name="转化过程证据"/>
    <tableColumn id="8" name="转化载体"/>
    <tableColumn id="9" name="应用成效证据"/>
    <tableColumn id="10" name="对应高品"/>
    <tableColumn id="11" name="对应收入"/>
    <tableColumn id="12" name="独立成果"/>
    <tableColumn id="13" name="是否重复"/>
    <tableColumn id="14" name="保守判断"/>
    <tableColumn id="15" name="保守计数"/>
    <tableColumn id="16" name="争议与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mediationPlan" displayName="RemediationPlan" ref="A4:K64" headerRowCount="1" totalsRowCount="0" totalsRowShown="0">
  <tableColumns count="11">
    <tableColumn id="1" name="优先级"/>
    <tableColumn id="2" name="缺口"/>
    <tableColumn id="3" name="当前影响"/>
    <tableColumn id="4" name="补强性质"/>
    <tableColumn id="5" name="具体动作"/>
    <tableColumn id="6" name="证据产物"/>
    <tableColumn id="7" name="预计增分"/>
    <tableColumn id="8" name="截止时间"/>
    <tableColumn id="9" name="责任岗位"/>
    <tableColumn id="10" name="完成状态"/>
    <tableColumn id="11" name="复核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20" customWidth="1" min="4" max="4"/>
    <col width="24" customWidth="1" min="5" max="5"/>
    <col width="12" customWidth="1" min="6" max="6"/>
    <col width="36" customWidth="1" min="7" max="7"/>
    <col width="14" customWidth="1" min="8" max="8"/>
  </cols>
  <sheetData>
    <row r="1" ht="34" customHeight="1">
      <c r="A1" s="46" t="inlineStr">
        <is>
          <t>高新技术企业预评估双年度采集表</t>
        </is>
      </c>
    </row>
    <row r="2" ht="28" customHeight="1">
      <c r="A2" s="40" t="inlineStr">
        <is>
          <t>用于比较今年申报与明年申报；黄色为输入，绿色为公式结果。内部 75 分缓冲线不是官方政策门槛。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</row>
    <row r="4" ht="26.39999961853027" customHeight="1">
      <c r="A4" s="48" t="inlineStr">
        <is>
          <t>步骤</t>
        </is>
      </c>
      <c r="B4" s="48" t="inlineStr">
        <is>
          <t>工作表</t>
        </is>
      </c>
      <c r="C4" s="48" t="inlineStr">
        <is>
          <t>填写内容</t>
        </is>
      </c>
      <c r="D4" s="48" t="inlineStr">
        <is>
          <t>填写责任人</t>
        </is>
      </c>
      <c r="E4" s="48" t="inlineStr">
        <is>
          <t>结果</t>
        </is>
      </c>
      <c r="F4" s="48" t="inlineStr">
        <is>
          <t>是否必须</t>
        </is>
      </c>
      <c r="G4" s="48" t="inlineStr">
        <is>
          <t>注意事项</t>
        </is>
      </c>
      <c r="H4" s="48" t="inlineStr">
        <is>
          <t>完成状态</t>
        </is>
      </c>
    </row>
    <row r="5" ht="52.79999923706055" customHeight="1">
      <c r="A5" s="49" t="n">
        <v>1</v>
      </c>
      <c r="B5" s="49" t="inlineStr">
        <is>
          <t>基础与硬门槛</t>
        </is>
      </c>
      <c r="C5" s="49" t="inlineStr">
        <is>
          <t>企业、地区、申报类型及九项硬门槛</t>
        </is>
      </c>
      <c r="D5" s="49" t="inlineStr">
        <is>
          <t>项目负责人/财务/人事</t>
        </is>
      </c>
      <c r="E5" s="49" t="inlineStr">
        <is>
          <t>当年及明年硬门槛状态</t>
        </is>
      </c>
      <c r="F5" s="49" t="inlineStr">
        <is>
          <t>是</t>
        </is>
      </c>
      <c r="G5" s="49" t="inlineStr">
        <is>
          <t>成长性 0 分不是硬门槛不通过</t>
        </is>
      </c>
      <c r="H5" s="50" t="inlineStr">
        <is>
          <t>未开始</t>
        </is>
      </c>
    </row>
    <row r="6" ht="66" customHeight="1">
      <c r="A6" s="49" t="n">
        <v>2</v>
      </c>
      <c r="B6" s="49" t="inlineStr">
        <is>
          <t>财务与成长性</t>
        </is>
      </c>
      <c r="C6" s="49" t="inlineStr">
        <is>
          <t>四年度收入、净资产、研发、高品收入和人员</t>
        </is>
      </c>
      <c r="D6" s="49" t="inlineStr">
        <is>
          <t>财务</t>
        </is>
      </c>
      <c r="E6" s="49" t="inlineStr">
        <is>
          <t>两年度成长性及硬比例</t>
        </is>
      </c>
      <c r="F6" s="49" t="inlineStr">
        <is>
          <t>是</t>
        </is>
      </c>
      <c r="G6" s="49" t="inlineStr">
        <is>
          <t>预测数据必须标明预测</t>
        </is>
      </c>
      <c r="H6" s="50" t="inlineStr">
        <is>
          <t>未开始</t>
        </is>
      </c>
    </row>
    <row r="7" ht="66" customHeight="1">
      <c r="A7" s="49" t="n">
        <v>3</v>
      </c>
      <c r="B7" s="49" t="inlineStr">
        <is>
          <t>知识产权</t>
        </is>
      </c>
      <c r="C7" s="49" t="inlineStr">
        <is>
          <t>逐件录入法律状态、权属、使用历史和关联</t>
        </is>
      </c>
      <c r="D7" s="49" t="inlineStr">
        <is>
          <t>知识产权/技术</t>
        </is>
      </c>
      <c r="E7" s="49" t="inlineStr">
        <is>
          <t>本次可用性</t>
        </is>
      </c>
      <c r="F7" s="49" t="inlineStr">
        <is>
          <t>是</t>
        </is>
      </c>
      <c r="G7" s="49" t="inlineStr">
        <is>
          <t>曾申报未通过不消耗Ⅱ类使用次数</t>
        </is>
      </c>
      <c r="H7" s="50" t="inlineStr">
        <is>
          <t>未开始</t>
        </is>
      </c>
    </row>
    <row r="8" ht="66" customHeight="1">
      <c r="A8" s="49" t="n">
        <v>4</v>
      </c>
      <c r="B8" s="49" t="inlineStr">
        <is>
          <t>成果转化</t>
        </is>
      </c>
      <c r="C8" s="49" t="inlineStr">
        <is>
          <t>逐项录入成果来源、过程、载体和应用成效</t>
        </is>
      </c>
      <c r="D8" s="49" t="inlineStr">
        <is>
          <t>技术/生产/销售</t>
        </is>
      </c>
      <c r="E8" s="49" t="inlineStr">
        <is>
          <t>三年保守有效数量</t>
        </is>
      </c>
      <c r="F8" s="49" t="inlineStr">
        <is>
          <t>是</t>
        </is>
      </c>
      <c r="G8" s="49" t="inlineStr">
        <is>
          <t>同一成果不得重复拆分</t>
        </is>
      </c>
      <c r="H8" s="50" t="inlineStr">
        <is>
          <t>未开始</t>
        </is>
      </c>
    </row>
    <row r="9" ht="52.79999923706055" customHeight="1">
      <c r="A9" s="49" t="n">
        <v>5</v>
      </c>
      <c r="B9" s="49" t="inlineStr">
        <is>
          <t>组织管理</t>
        </is>
      </c>
      <c r="C9" s="49" t="inlineStr">
        <is>
          <t>制度、执行、结果及三档评分</t>
        </is>
      </c>
      <c r="D9" s="49" t="inlineStr">
        <is>
          <t>研发/人事/财务</t>
        </is>
      </c>
      <c r="E9" s="49" t="inlineStr">
        <is>
          <t>目标/保守/压力分</t>
        </is>
      </c>
      <c r="F9" s="49" t="inlineStr">
        <is>
          <t>是</t>
        </is>
      </c>
      <c r="G9" s="49" t="inlineStr">
        <is>
          <t>制度文件不等于制度执行</t>
        </is>
      </c>
      <c r="H9" s="50" t="inlineStr">
        <is>
          <t>未开始</t>
        </is>
      </c>
    </row>
    <row r="10" ht="52.79999923706055" customHeight="1">
      <c r="A10" s="49" t="n">
        <v>6</v>
      </c>
      <c r="B10" s="49" t="inlineStr">
        <is>
          <t>双年度评分</t>
        </is>
      </c>
      <c r="C10" s="49" t="inlineStr">
        <is>
          <t>录入知识产权三档分，复核自动建议</t>
        </is>
      </c>
      <c r="D10" s="49" t="inlineStr">
        <is>
          <t>项目负责人</t>
        </is>
      </c>
      <c r="E10" s="49" t="inlineStr">
        <is>
          <t>申报年度建议</t>
        </is>
      </c>
      <c r="F10" s="49" t="inlineStr">
        <is>
          <t>是</t>
        </is>
      </c>
      <c r="G10" s="49" t="inlineStr">
        <is>
          <t>先看保守分，再看压力分</t>
        </is>
      </c>
      <c r="H10" s="50" t="inlineStr">
        <is>
          <t>未开始</t>
        </is>
      </c>
    </row>
    <row r="11" ht="52.79999923706055" customHeight="1">
      <c r="A11" s="49" t="n">
        <v>7</v>
      </c>
      <c r="B11" s="49" t="inlineStr">
        <is>
          <t>补强计划</t>
        </is>
      </c>
      <c r="C11" s="49" t="inlineStr">
        <is>
          <t>把缺口转成动作、证据和截止时间</t>
        </is>
      </c>
      <c r="D11" s="49" t="inlineStr">
        <is>
          <t>项目负责人</t>
        </is>
      </c>
      <c r="E11" s="49" t="inlineStr">
        <is>
          <t>可执行整改表</t>
        </is>
      </c>
      <c r="F11" s="49" t="inlineStr">
        <is>
          <t>是</t>
        </is>
      </c>
      <c r="G11" s="49" t="inlineStr">
        <is>
          <t>区分证据补强和事实补强</t>
        </is>
      </c>
      <c r="H11" s="50" t="inlineStr">
        <is>
          <t>未开始</t>
        </is>
      </c>
    </row>
    <row r="12" ht="39.59999847412109" customHeight="1">
      <c r="A12" s="49" t="n">
        <v>8</v>
      </c>
      <c r="B12" s="49" t="inlineStr">
        <is>
          <t>规则与来源</t>
        </is>
      </c>
      <c r="C12" s="49" t="inlineStr">
        <is>
          <t>核验当期政策与属地通知</t>
        </is>
      </c>
      <c r="D12" s="49" t="inlineStr">
        <is>
          <t>项目负责人</t>
        </is>
      </c>
      <c r="E12" s="49" t="inlineStr">
        <is>
          <t>来源可追溯</t>
        </is>
      </c>
      <c r="F12" s="49" t="inlineStr">
        <is>
          <t>是</t>
        </is>
      </c>
      <c r="G12" s="49" t="inlineStr">
        <is>
          <t>地方经验不得冒充国家政策</t>
        </is>
      </c>
      <c r="H12" s="50" t="inlineStr">
        <is>
          <t>未开始</t>
        </is>
      </c>
    </row>
    <row r="13" ht="66" customHeight="1">
      <c r="A13" s="49" t="n">
        <v>9</v>
      </c>
      <c r="B13" s="49" t="inlineStr">
        <is>
          <t>最终复核</t>
        </is>
      </c>
      <c r="C13" s="49" t="inlineStr">
        <is>
          <t>跨表核对专利、研发、成果、高品和收入</t>
        </is>
      </c>
      <c r="D13" s="49" t="inlineStr">
        <is>
          <t>复核人</t>
        </is>
      </c>
      <c r="E13" s="49" t="inlineStr">
        <is>
          <t>最终结论</t>
        </is>
      </c>
      <c r="F13" s="49" t="inlineStr">
        <is>
          <t>是</t>
        </is>
      </c>
      <c r="G13" s="49" t="inlineStr">
        <is>
          <t>任何矛盾保留并说明</t>
        </is>
      </c>
      <c r="H13" s="50" t="inlineStr">
        <is>
          <t>未开始</t>
        </is>
      </c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 ht="15" customHeight="1">
      <c r="A15" s="51" t="inlineStr">
        <is>
          <t>输出等级</t>
        </is>
      </c>
    </row>
    <row r="16" ht="15" customHeight="1">
      <c r="A16" s="48" t="inlineStr">
        <is>
          <t>等级</t>
        </is>
      </c>
      <c r="B16" s="48" t="inlineStr">
        <is>
          <t>判定</t>
        </is>
      </c>
      <c r="C16" s="48" t="inlineStr">
        <is>
          <t>硬门槛</t>
        </is>
      </c>
      <c r="D16" s="48" t="inlineStr">
        <is>
          <t>保守分</t>
        </is>
      </c>
      <c r="E16" s="48" t="inlineStr">
        <is>
          <t>压力分</t>
        </is>
      </c>
      <c r="F16" s="48" t="inlineStr">
        <is>
          <t>年度比较</t>
        </is>
      </c>
      <c r="G16" s="48" t="inlineStr">
        <is>
          <t>建议</t>
        </is>
      </c>
      <c r="H16" s="48" t="inlineStr">
        <is>
          <t>说明</t>
        </is>
      </c>
    </row>
    <row r="17" ht="52.79999923706055" customHeight="1">
      <c r="A17" s="49" t="inlineStr">
        <is>
          <t>A</t>
        </is>
      </c>
      <c r="B17" s="49" t="inlineStr">
        <is>
          <t>建议当年申报</t>
        </is>
      </c>
      <c r="C17" s="49" t="inlineStr">
        <is>
          <t>全部通过</t>
        </is>
      </c>
      <c r="D17" s="49" t="inlineStr">
        <is>
          <t>≥75</t>
        </is>
      </c>
      <c r="E17" s="49" t="inlineStr">
        <is>
          <t>原则上≥71</t>
        </is>
      </c>
      <c r="F17" s="49" t="inlineStr">
        <is>
          <t>下一年净改善有限</t>
        </is>
      </c>
      <c r="G17" s="49" t="inlineStr">
        <is>
          <t>今年申报</t>
        </is>
      </c>
      <c r="H17" s="49" t="inlineStr">
        <is>
          <t>仍需以当期政策和正式材料为准</t>
        </is>
      </c>
    </row>
    <row r="18" ht="26.39999961853027" customHeight="1">
      <c r="A18" s="49" t="inlineStr">
        <is>
          <t>B</t>
        </is>
      </c>
      <c r="B18" s="49" t="inlineStr">
        <is>
          <t>补强后当年申报</t>
        </is>
      </c>
      <c r="C18" s="49" t="inlineStr">
        <is>
          <t>全部通过</t>
        </is>
      </c>
      <c r="D18" s="49" t="inlineStr">
        <is>
          <t>71—74</t>
        </is>
      </c>
      <c r="E18" s="49" t="inlineStr">
        <is>
          <t>存在可控争议</t>
        </is>
      </c>
      <c r="F18" s="49" t="inlineStr">
        <is>
          <t>截止前可真实补强</t>
        </is>
      </c>
      <c r="G18" s="49" t="inlineStr">
        <is>
          <t>补强后今年申报</t>
        </is>
      </c>
      <c r="H18" s="49" t="inlineStr">
        <is>
          <t>补强后重新评分</t>
        </is>
      </c>
    </row>
    <row r="19" ht="39.59999847412109" customHeight="1">
      <c r="A19" s="49" t="inlineStr">
        <is>
          <t>C</t>
        </is>
      </c>
      <c r="B19" s="49" t="inlineStr">
        <is>
          <t>建议下一年申报</t>
        </is>
      </c>
      <c r="C19" s="49" t="inlineStr">
        <is>
          <t>当年通过或可整改</t>
        </is>
      </c>
      <c r="D19" s="49" t="inlineStr">
        <is>
          <t>≤70</t>
        </is>
      </c>
      <c r="E19" s="49" t="inlineStr">
        <is>
          <t>明显偏低</t>
        </is>
      </c>
      <c r="F19" s="49" t="inlineStr">
        <is>
          <t>下一年有可验证净改善</t>
        </is>
      </c>
      <c r="G19" s="49" t="inlineStr">
        <is>
          <t>明年申报</t>
        </is>
      </c>
      <c r="H19" s="49" t="inlineStr">
        <is>
          <t>必须扣除退出年度损失</t>
        </is>
      </c>
    </row>
    <row r="20" ht="39.59999847412109" customHeight="1">
      <c r="A20" s="49" t="inlineStr">
        <is>
          <t>D</t>
        </is>
      </c>
      <c r="B20" s="49" t="inlineStr">
        <is>
          <t>两年均暂缓</t>
        </is>
      </c>
      <c r="C20" s="49" t="inlineStr">
        <is>
          <t>存在持续否决项</t>
        </is>
      </c>
      <c r="D20" s="49" t="inlineStr">
        <is>
          <t>不足</t>
        </is>
      </c>
      <c r="E20" s="49" t="inlineStr">
        <is>
          <t>不足</t>
        </is>
      </c>
      <c r="F20" s="49" t="inlineStr">
        <is>
          <t>下一年改善不确定</t>
        </is>
      </c>
      <c r="G20" s="49" t="inlineStr">
        <is>
          <t>暂缓</t>
        </is>
      </c>
      <c r="H20" s="49" t="inlineStr">
        <is>
          <t>先解决硬门槛或真实性问题</t>
        </is>
      </c>
    </row>
  </sheetData>
  <mergeCells count="3">
    <mergeCell ref="A1:H1"/>
    <mergeCell ref="A2:H2"/>
    <mergeCell ref="A15:H15"/>
  </mergeCells>
  <dataValidations count="1">
    <dataValidation sqref="H5:H13" showDropDown="0" showInputMessage="0" showErrorMessage="0" allowBlank="0" type="list">
      <formula1>"未开始,进行中,已完成,不适用"</formula1>
    </dataValidation>
  </dataValidations>
  <pageMargins left="0.3" right="0.3" top="0.3" bottom="0.3" header="0.3" footer="0.3"/>
  <pageSetup orientation="landscape" paperSize="9" fitToHeight="0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6" customWidth="1" min="4" max="4"/>
    <col width="34" customWidth="1" min="5" max="5"/>
    <col width="34" customWidth="1" min="6" max="6"/>
  </cols>
  <sheetData>
    <row r="1" ht="19.20000076293945" customHeight="1">
      <c r="A1" s="46" t="inlineStr">
        <is>
          <t>基础信息与硬门槛</t>
        </is>
      </c>
    </row>
    <row r="2" ht="15" customHeight="1">
      <c r="A2" s="40" t="inlineStr">
        <is>
          <t>“否”触发不通过；“待核”触发待核。成长性得分不在本表作为硬门槛。</t>
        </is>
      </c>
    </row>
    <row r="3">
      <c r="A3" s="47" t="n"/>
      <c r="B3" s="47" t="n"/>
      <c r="C3" s="47" t="n"/>
      <c r="D3" s="47" t="n"/>
      <c r="E3" s="47" t="n"/>
      <c r="F3" s="47" t="n"/>
    </row>
    <row r="4" ht="15" customHeight="1">
      <c r="A4" s="48" t="inlineStr">
        <is>
          <t>基础字段</t>
        </is>
      </c>
      <c r="B4" s="48" t="inlineStr">
        <is>
          <t>填写值</t>
        </is>
      </c>
      <c r="C4" s="47" t="n"/>
      <c r="D4" s="47" t="n"/>
      <c r="E4" s="47" t="n"/>
      <c r="F4" s="47" t="n"/>
    </row>
    <row r="5" ht="15" customHeight="1">
      <c r="A5" s="49" t="inlineStr">
        <is>
          <t>企业名称</t>
        </is>
      </c>
      <c r="B5" s="50" t="str"/>
      <c r="C5" s="47" t="n"/>
      <c r="D5" s="47" t="n"/>
      <c r="E5" s="47" t="n"/>
      <c r="F5" s="47" t="n"/>
    </row>
    <row r="6" ht="26.39999961853027" customHeight="1">
      <c r="A6" s="49" t="inlineStr">
        <is>
          <t>统一社会信用代码</t>
        </is>
      </c>
      <c r="B6" s="50" t="str"/>
      <c r="C6" s="47" t="n"/>
      <c r="D6" s="47" t="n"/>
      <c r="E6" s="47" t="n"/>
      <c r="F6" s="47" t="n"/>
    </row>
    <row r="7" ht="15" customHeight="1">
      <c r="A7" s="49" t="inlineStr">
        <is>
          <t>申报地区</t>
        </is>
      </c>
      <c r="B7" s="50" t="inlineStr">
        <is>
          <t>浙江省</t>
        </is>
      </c>
      <c r="C7" s="47" t="n"/>
      <c r="D7" s="47" t="n"/>
      <c r="E7" s="47" t="n"/>
      <c r="F7" s="47" t="n"/>
    </row>
    <row r="8" ht="26.39999961853027" customHeight="1">
      <c r="A8" s="49" t="inlineStr">
        <is>
          <t>拟申报年度</t>
        </is>
      </c>
      <c r="B8" s="50" t="n">
        <v>2026</v>
      </c>
      <c r="C8" s="47" t="n"/>
      <c r="D8" s="47" t="n"/>
      <c r="E8" s="47" t="n"/>
      <c r="F8" s="47" t="n"/>
    </row>
    <row r="9" ht="15" customHeight="1">
      <c r="A9" s="49" t="inlineStr">
        <is>
          <t>申报类型</t>
        </is>
      </c>
      <c r="B9" s="50" t="inlineStr">
        <is>
          <t>首次认定</t>
        </is>
      </c>
      <c r="C9" s="47" t="n"/>
      <c r="D9" s="47" t="n"/>
      <c r="E9" s="47" t="n"/>
      <c r="F9" s="47" t="n"/>
    </row>
    <row r="10" ht="26.39999961853027" customHeight="1">
      <c r="A10" s="49" t="inlineStr">
        <is>
          <t>当前填表日期</t>
        </is>
      </c>
      <c r="B10" s="70" t="n">
        <v>46227</v>
      </c>
      <c r="C10" s="47" t="n"/>
      <c r="D10" s="47" t="n"/>
      <c r="E10" s="47" t="n"/>
      <c r="F10" s="47" t="n"/>
    </row>
    <row r="11">
      <c r="A11" s="47" t="n"/>
      <c r="B11" s="47" t="n"/>
      <c r="C11" s="47" t="n"/>
      <c r="D11" s="47" t="n"/>
      <c r="E11" s="47" t="n"/>
      <c r="F11" s="47" t="n"/>
    </row>
    <row r="12" ht="15" customHeight="1">
      <c r="A12" s="51" t="inlineStr">
        <is>
          <t>硬门槛逐项核验</t>
        </is>
      </c>
    </row>
    <row r="13" ht="26.39999961853027" customHeight="1">
      <c r="A13" s="48" t="inlineStr">
        <is>
          <t>序号</t>
        </is>
      </c>
      <c r="B13" s="48" t="inlineStr">
        <is>
          <t>硬门槛</t>
        </is>
      </c>
      <c r="C13" s="48" t="inlineStr">
        <is>
          <t>当年状态</t>
        </is>
      </c>
      <c r="D13" s="48" t="inlineStr">
        <is>
          <t>下一年预测</t>
        </is>
      </c>
      <c r="E13" s="48" t="inlineStr">
        <is>
          <t>事实/资料来源</t>
        </is>
      </c>
      <c r="F13" s="48" t="inlineStr">
        <is>
          <t>缺口及处理</t>
        </is>
      </c>
    </row>
    <row r="14" ht="26.39999961853027" customHeight="1">
      <c r="A14" s="56" t="n">
        <v>1</v>
      </c>
      <c r="B14" s="49" t="inlineStr">
        <is>
          <t>注册成立一年以上</t>
        </is>
      </c>
      <c r="C14" s="50" t="inlineStr">
        <is>
          <t>待核</t>
        </is>
      </c>
      <c r="D14" s="50" t="inlineStr">
        <is>
          <t>待核</t>
        </is>
      </c>
      <c r="E14" s="50" t="str"/>
      <c r="F14" s="50" t="str"/>
    </row>
    <row r="15" ht="39.59999847412109" customHeight="1">
      <c r="A15" s="56" t="n">
        <v>2</v>
      </c>
      <c r="B15" s="49" t="inlineStr">
        <is>
          <t>拥有核心知识产权所有权</t>
        </is>
      </c>
      <c r="C15" s="50" t="inlineStr">
        <is>
          <t>待核</t>
        </is>
      </c>
      <c r="D15" s="50" t="inlineStr">
        <is>
          <t>待核</t>
        </is>
      </c>
      <c r="E15" s="50" t="str"/>
      <c r="F15" s="50" t="str"/>
    </row>
    <row r="16" ht="39.59999847412109" customHeight="1">
      <c r="A16" s="56" t="n">
        <v>3</v>
      </c>
      <c r="B16" s="49" t="inlineStr">
        <is>
          <t>核心技术属于高新技术领域</t>
        </is>
      </c>
      <c r="C16" s="50" t="inlineStr">
        <is>
          <t>待核</t>
        </is>
      </c>
      <c r="D16" s="50" t="inlineStr">
        <is>
          <t>待核</t>
        </is>
      </c>
      <c r="E16" s="50" t="str"/>
      <c r="F16" s="50" t="str"/>
    </row>
    <row r="17" ht="39.59999847412109" customHeight="1">
      <c r="A17" s="56" t="n">
        <v>4</v>
      </c>
      <c r="B17" s="49" t="inlineStr">
        <is>
          <t>科技人员占比不低于10%</t>
        </is>
      </c>
      <c r="C17" s="50" t="inlineStr">
        <is>
          <t>待核</t>
        </is>
      </c>
      <c r="D17" s="50" t="inlineStr">
        <is>
          <t>待核</t>
        </is>
      </c>
      <c r="E17" s="50" t="str"/>
      <c r="F17" s="50" t="str"/>
    </row>
    <row r="18" ht="39.59999847412109" customHeight="1">
      <c r="A18" s="56" t="n">
        <v>5</v>
      </c>
      <c r="B18" s="49" t="inlineStr">
        <is>
          <t>研发费用占比达到对应档次</t>
        </is>
      </c>
      <c r="C18" s="50" t="inlineStr">
        <is>
          <t>待核</t>
        </is>
      </c>
      <c r="D18" s="50" t="inlineStr">
        <is>
          <t>待核</t>
        </is>
      </c>
      <c r="E18" s="50" t="str"/>
      <c r="F18" s="50" t="str"/>
    </row>
    <row r="19" ht="52.79999923706055" customHeight="1">
      <c r="A19" s="56" t="n">
        <v>6</v>
      </c>
      <c r="B19" s="49" t="inlineStr">
        <is>
          <t>境内研发费用占比不低于60%</t>
        </is>
      </c>
      <c r="C19" s="50" t="inlineStr">
        <is>
          <t>待核</t>
        </is>
      </c>
      <c r="D19" s="50" t="inlineStr">
        <is>
          <t>待核</t>
        </is>
      </c>
      <c r="E19" s="50" t="str"/>
      <c r="F19" s="50" t="str"/>
    </row>
    <row r="20" ht="52.79999923706055" customHeight="1">
      <c r="A20" s="56" t="n">
        <v>7</v>
      </c>
      <c r="B20" s="49" t="inlineStr">
        <is>
          <t>高新产品或服务收入占比不低于60%</t>
        </is>
      </c>
      <c r="C20" s="50" t="inlineStr">
        <is>
          <t>待核</t>
        </is>
      </c>
      <c r="D20" s="50" t="inlineStr">
        <is>
          <t>待核</t>
        </is>
      </c>
      <c r="E20" s="50" t="str"/>
      <c r="F20" s="50" t="str"/>
    </row>
    <row r="21" ht="39.59999847412109" customHeight="1">
      <c r="A21" s="56" t="n">
        <v>8</v>
      </c>
      <c r="B21" s="49" t="inlineStr">
        <is>
          <t>创新能力评价超过70分</t>
        </is>
      </c>
      <c r="C21" s="50" t="inlineStr">
        <is>
          <t>待核</t>
        </is>
      </c>
      <c r="D21" s="50" t="inlineStr">
        <is>
          <t>待核</t>
        </is>
      </c>
      <c r="E21" s="50" t="str"/>
      <c r="F21" s="50" t="str"/>
    </row>
    <row r="22" ht="52.79999923706055" customHeight="1">
      <c r="A22" s="56" t="n">
        <v>9</v>
      </c>
      <c r="B22" s="49" t="inlineStr">
        <is>
          <t>前一年无重大事故或严重环境违法</t>
        </is>
      </c>
      <c r="C22" s="50" t="inlineStr">
        <is>
          <t>待核</t>
        </is>
      </c>
      <c r="D22" s="50" t="inlineStr">
        <is>
          <t>待核</t>
        </is>
      </c>
      <c r="E22" s="50" t="str"/>
      <c r="F22" s="50" t="str"/>
    </row>
    <row r="23">
      <c r="A23" s="47" t="n"/>
      <c r="B23" s="47" t="n"/>
      <c r="C23" s="47" t="n"/>
      <c r="D23" s="47" t="n"/>
      <c r="E23" s="47" t="n"/>
      <c r="F23" s="47" t="n"/>
    </row>
    <row r="24" ht="15" customHeight="1">
      <c r="A24" s="48" t="inlineStr">
        <is>
          <t>汇总结论</t>
        </is>
      </c>
      <c r="B24" s="48" t="inlineStr">
        <is>
          <t>当年</t>
        </is>
      </c>
      <c r="C24" s="47" t="n"/>
      <c r="D24" s="47" t="n"/>
      <c r="E24" s="47" t="n"/>
      <c r="F24" s="47" t="n"/>
    </row>
    <row r="25" ht="15" customHeight="1">
      <c r="A25" s="47" t="inlineStr">
        <is>
          <t>当年硬门槛</t>
        </is>
      </c>
      <c r="B25" s="57">
        <f>IF(COUNTIF(C14:C22,"否")&gt;0,"不通过",IF(OR(COUNTIF(C14:C22,"待核")&gt;0,COUNTBLANK(C14:C22)&gt;0),"待核","通过"))</f>
        <v/>
      </c>
      <c r="C25" s="47" t="n"/>
      <c r="D25" s="47" t="n"/>
      <c r="E25" s="47" t="n"/>
      <c r="F25" s="47" t="n"/>
    </row>
    <row r="26" ht="15" customHeight="1">
      <c r="A26" s="47" t="inlineStr">
        <is>
          <t>下一年硬门槛</t>
        </is>
      </c>
      <c r="B26" s="57">
        <f>IF(COUNTIF(D14:D22,"否")&gt;0,"不通过",IF(OR(COUNTIF(D14:D22,"待核")&gt;0,COUNTBLANK(D14:D22)&gt;0),"待核","通过"))</f>
        <v/>
      </c>
      <c r="C26" s="47" t="n"/>
      <c r="D26" s="47" t="n"/>
      <c r="E26" s="47" t="n"/>
      <c r="F26" s="47" t="n"/>
    </row>
  </sheetData>
  <mergeCells count="3">
    <mergeCell ref="A2:F2"/>
    <mergeCell ref="A1:F1"/>
    <mergeCell ref="A12:F12"/>
  </mergeCells>
  <dataValidations count="2">
    <dataValidation sqref="B9" showDropDown="0" showInputMessage="0" showErrorMessage="0" allowBlank="0" type="list">
      <formula1>"首次认定,重新认定,曾申报未通过"</formula1>
    </dataValidation>
    <dataValidation sqref="C14:D22" showDropDown="0" showInputMessage="0" showErrorMessage="0" allowBlank="0" type="list">
      <formula1>"是,否,待核"</formula1>
    </dataValidation>
  </dataValidations>
  <pageMargins left="0.3" right="0.3" top="0.3" bottom="0.3" header="0.3" footer="0.3"/>
  <pageSetup orientation="landscape" paperSize="9" fitToHeight="0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28" customWidth="1" min="8" max="8"/>
  </cols>
  <sheetData>
    <row r="1" ht="19.20000076293945" customHeight="1">
      <c r="A1" s="46" t="inlineStr">
        <is>
          <t>财务、人员与成长性</t>
        </is>
      </c>
    </row>
    <row r="2" ht="15" customHeight="1">
      <c r="A2" s="40" t="inlineStr">
        <is>
          <t>录入连续四个年度。前三列用于当年申报，后三列用于下一年申报；预测值必须在口径列说明。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</row>
    <row r="4" ht="15" customHeight="1">
      <c r="A4" s="48" t="inlineStr">
        <is>
          <t>项目</t>
        </is>
      </c>
      <c r="B4" s="48" t="inlineStr">
        <is>
          <t>Y-3</t>
        </is>
      </c>
      <c r="C4" s="48" t="inlineStr">
        <is>
          <t>Y-2</t>
        </is>
      </c>
      <c r="D4" s="48" t="inlineStr">
        <is>
          <t>Y-1</t>
        </is>
      </c>
      <c r="E4" s="48" t="inlineStr">
        <is>
          <t>Y</t>
        </is>
      </c>
      <c r="F4" s="48" t="inlineStr">
        <is>
          <t>单位</t>
        </is>
      </c>
      <c r="G4" s="48" t="inlineStr">
        <is>
          <t>数据口径</t>
        </is>
      </c>
      <c r="H4" s="48" t="inlineStr">
        <is>
          <t>备注</t>
        </is>
      </c>
    </row>
    <row r="5" ht="15" customHeight="1">
      <c r="A5" s="49" t="inlineStr">
        <is>
          <t>年度</t>
        </is>
      </c>
      <c r="B5" s="50" t="n">
        <v>2023</v>
      </c>
      <c r="C5" s="50" t="n">
        <v>2024</v>
      </c>
      <c r="D5" s="50" t="n">
        <v>2025</v>
      </c>
      <c r="E5" s="50" t="n">
        <v>2026</v>
      </c>
      <c r="F5" s="49" t="inlineStr">
        <is>
          <t>年</t>
        </is>
      </c>
      <c r="G5" s="50" t="inlineStr">
        <is>
          <t>实际/预测</t>
        </is>
      </c>
      <c r="H5" s="50" t="str"/>
    </row>
    <row r="6" ht="15" customHeight="1">
      <c r="A6" s="49" t="inlineStr">
        <is>
          <t>销售收入</t>
        </is>
      </c>
      <c r="B6" s="71" t="n"/>
      <c r="C6" s="71" t="n"/>
      <c r="D6" s="71" t="n"/>
      <c r="E6" s="71" t="n"/>
      <c r="F6" s="49" t="inlineStr">
        <is>
          <t>万元</t>
        </is>
      </c>
      <c r="G6" s="50" t="str"/>
      <c r="H6" s="50" t="str"/>
    </row>
    <row r="7" ht="15" customHeight="1">
      <c r="A7" s="49" t="inlineStr">
        <is>
          <t>净资产</t>
        </is>
      </c>
      <c r="B7" s="71" t="n"/>
      <c r="C7" s="71" t="n"/>
      <c r="D7" s="71" t="n"/>
      <c r="E7" s="71" t="n"/>
      <c r="F7" s="49" t="inlineStr">
        <is>
          <t>万元</t>
        </is>
      </c>
      <c r="G7" s="50" t="str"/>
      <c r="H7" s="50" t="str"/>
    </row>
    <row r="8" ht="15" customHeight="1">
      <c r="A8" s="49" t="inlineStr">
        <is>
          <t>研发费用</t>
        </is>
      </c>
      <c r="B8" s="71" t="n"/>
      <c r="C8" s="71" t="n"/>
      <c r="D8" s="71" t="n"/>
      <c r="E8" s="71" t="n"/>
      <c r="F8" s="49" t="inlineStr">
        <is>
          <t>万元</t>
        </is>
      </c>
      <c r="G8" s="50" t="str"/>
      <c r="H8" s="50" t="str"/>
    </row>
    <row r="9" ht="26.39999961853027" customHeight="1">
      <c r="A9" s="49" t="inlineStr">
        <is>
          <t>境内研发费用</t>
        </is>
      </c>
      <c r="B9" s="71" t="n"/>
      <c r="C9" s="71" t="n"/>
      <c r="D9" s="71" t="n"/>
      <c r="E9" s="71" t="n"/>
      <c r="F9" s="49" t="inlineStr">
        <is>
          <t>万元</t>
        </is>
      </c>
      <c r="G9" s="50" t="str"/>
      <c r="H9" s="50" t="str"/>
    </row>
    <row r="10" ht="15" customHeight="1">
      <c r="A10" s="49" t="inlineStr">
        <is>
          <t>总收入</t>
        </is>
      </c>
      <c r="B10" s="71" t="n"/>
      <c r="C10" s="71" t="n"/>
      <c r="D10" s="71" t="n"/>
      <c r="E10" s="71" t="n"/>
      <c r="F10" s="49" t="inlineStr">
        <is>
          <t>万元</t>
        </is>
      </c>
      <c r="G10" s="50" t="str"/>
      <c r="H10" s="50" t="str"/>
    </row>
    <row r="11" ht="39.59999847412109" customHeight="1">
      <c r="A11" s="49" t="inlineStr">
        <is>
          <t>高新产品或服务收入</t>
        </is>
      </c>
      <c r="B11" s="71" t="n"/>
      <c r="C11" s="71" t="n"/>
      <c r="D11" s="71" t="n"/>
      <c r="E11" s="71" t="n"/>
      <c r="F11" s="49" t="inlineStr">
        <is>
          <t>万元</t>
        </is>
      </c>
      <c r="G11" s="50" t="str"/>
      <c r="H11" s="50" t="str"/>
    </row>
    <row r="12" ht="15" customHeight="1">
      <c r="A12" s="49" t="inlineStr">
        <is>
          <t>职工总数</t>
        </is>
      </c>
      <c r="B12" s="72" t="n"/>
      <c r="C12" s="72" t="n"/>
      <c r="D12" s="72" t="n"/>
      <c r="E12" s="72" t="n"/>
      <c r="F12" s="49" t="inlineStr">
        <is>
          <t>人</t>
        </is>
      </c>
      <c r="G12" s="50" t="str"/>
      <c r="H12" s="50" t="str"/>
    </row>
    <row r="13" ht="26.39999961853027" customHeight="1">
      <c r="A13" s="49" t="inlineStr">
        <is>
          <t>科技人员数</t>
        </is>
      </c>
      <c r="B13" s="72" t="n"/>
      <c r="C13" s="72" t="n"/>
      <c r="D13" s="72" t="n"/>
      <c r="E13" s="72" t="n"/>
      <c r="F13" s="49" t="inlineStr">
        <is>
          <t>人</t>
        </is>
      </c>
      <c r="G13" s="50" t="str"/>
      <c r="H13" s="50" t="str"/>
    </row>
    <row r="14" ht="39.59999847412109" customHeight="1">
      <c r="A14" s="49" t="inlineStr">
        <is>
          <t>最近一年销售收入档次</t>
        </is>
      </c>
      <c r="B14" s="49" t="str"/>
      <c r="C14" s="49" t="str"/>
      <c r="D14" s="57">
        <f>IF(D6&lt;=5000,"≤5000万元，研发费比例≥5%",IF(D6&lt;=20000,"5000万—2亿元，研发费比例≥4%","&gt;2亿元，研发费比例≥3%"))</f>
        <v/>
      </c>
      <c r="E14" s="57">
        <f>IF(E6&lt;=5000,"≤5000万元，研发费比例≥5%",IF(E6&lt;=20000,"5000万—2亿元，研发费比例≥4%","&gt;2亿元，研发费比例≥3%"))</f>
        <v/>
      </c>
      <c r="F14" s="49" t="str"/>
      <c r="G14" s="50" t="str"/>
      <c r="H14" s="50" t="str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</row>
    <row r="16" ht="15" customHeight="1">
      <c r="A16" s="51" t="inlineStr">
        <is>
          <t>硬比例自动计算</t>
        </is>
      </c>
    </row>
    <row r="17" ht="26.39999961853027" customHeight="1">
      <c r="A17" s="48" t="inlineStr">
        <is>
          <t>指标</t>
        </is>
      </c>
      <c r="B17" s="48" t="inlineStr">
        <is>
          <t>当年使用值</t>
        </is>
      </c>
      <c r="C17" s="48" t="inlineStr">
        <is>
          <t>当年门槛</t>
        </is>
      </c>
      <c r="D17" s="48" t="inlineStr">
        <is>
          <t>当年判断</t>
        </is>
      </c>
      <c r="E17" s="48" t="inlineStr">
        <is>
          <t>下一年使用值</t>
        </is>
      </c>
      <c r="F17" s="48" t="inlineStr">
        <is>
          <t>下一年门槛</t>
        </is>
      </c>
      <c r="G17" s="48" t="inlineStr">
        <is>
          <t>下一年判断</t>
        </is>
      </c>
      <c r="H17" s="48" t="inlineStr">
        <is>
          <t>说明</t>
        </is>
      </c>
    </row>
    <row r="18" ht="52.79999923706055" customHeight="1">
      <c r="A18" s="49" t="inlineStr">
        <is>
          <t>近三年研发费用占销售收入比例</t>
        </is>
      </c>
      <c r="B18" s="73">
        <f>IF(OR(COUNT(B8:D8,B6:D6)&lt;6,SUM(B6:D6)=0),"待核",SUM(B8:D8)/SUM(B6:D6))</f>
        <v/>
      </c>
      <c r="C18" s="73">
        <f>IF(D6&lt;=5000,5%,IF(D6&lt;=20000,4%,3%))</f>
        <v/>
      </c>
      <c r="D18" s="57">
        <f>IF(ISNUMBER(B18),IF(B18&gt;=C18,"是","否"),"待核")</f>
        <v/>
      </c>
      <c r="E18" s="73">
        <f>IF(OR(COUNT(C8:E8,C6:E6)&lt;6,SUM(C6:E6)=0),"待核",SUM(C8:E8)/SUM(C6:E6))</f>
        <v/>
      </c>
      <c r="F18" s="73">
        <f>IF(E6&lt;=5000,5%,IF(E6&lt;=20000,4%,3%))</f>
        <v/>
      </c>
      <c r="G18" s="57">
        <f>IF(ISNUMBER(E18),IF(E18&gt;=F18,"是","否"),"待核")</f>
        <v/>
      </c>
      <c r="H18" s="49" t="inlineStr">
        <is>
          <t>按三年合计计算</t>
        </is>
      </c>
    </row>
    <row r="19" ht="52.79999923706055" customHeight="1">
      <c r="A19" s="49" t="inlineStr">
        <is>
          <t>境内研发费用占研发费用比例</t>
        </is>
      </c>
      <c r="B19" s="73">
        <f>IF(OR(COUNT(B9:D9,B8:D8)&lt;6,SUM(B8:D8)=0),"待核",SUM(B9:D9)/SUM(B8:D8))</f>
        <v/>
      </c>
      <c r="C19" s="73" t="n">
        <v>0.6</v>
      </c>
      <c r="D19" s="57">
        <f>IF(ISNUMBER(B19),IF(B19&gt;=C19,"是","否"),"待核")</f>
        <v/>
      </c>
      <c r="E19" s="73">
        <f>IF(OR(COUNT(C9:E9,C8:E8)&lt;6,SUM(C8:E8)=0),"待核",SUM(C9:E9)/SUM(C8:E8))</f>
        <v/>
      </c>
      <c r="F19" s="73" t="n">
        <v>0.6</v>
      </c>
      <c r="G19" s="57">
        <f>IF(ISNUMBER(E19),IF(E19&gt;=F19,"是","否"),"待核")</f>
        <v/>
      </c>
      <c r="H19" s="49" t="inlineStr">
        <is>
          <t>不低于60%</t>
        </is>
      </c>
    </row>
    <row r="20" ht="52.79999923706055" customHeight="1">
      <c r="A20" s="49" t="inlineStr">
        <is>
          <t>最近一年高品收入占总收入比例</t>
        </is>
      </c>
      <c r="B20" s="73">
        <f>IF(OR(COUNT(D11,D10)&lt;2,SUM(D10)=0),"待核",SUM(D11)/SUM(D10))</f>
        <v/>
      </c>
      <c r="C20" s="73" t="n">
        <v>0.6</v>
      </c>
      <c r="D20" s="57">
        <f>IF(ISNUMBER(B20),IF(B20&gt;=C20,"是","否"),"待核")</f>
        <v/>
      </c>
      <c r="E20" s="73">
        <f>IF(OR(COUNT(E11,E10)&lt;2,SUM(E10)=0),"待核",SUM(E11)/SUM(E10))</f>
        <v/>
      </c>
      <c r="F20" s="73" t="n">
        <v>0.6</v>
      </c>
      <c r="G20" s="57">
        <f>IF(ISNUMBER(E20),IF(E20&gt;=F20,"是","否"),"待核")</f>
        <v/>
      </c>
      <c r="H20" s="49" t="inlineStr">
        <is>
          <t>不低于60%</t>
        </is>
      </c>
    </row>
    <row r="21" ht="39.59999847412109" customHeight="1">
      <c r="A21" s="49" t="inlineStr">
        <is>
          <t>最近一年科技人员占比</t>
        </is>
      </c>
      <c r="B21" s="73">
        <f>IF(OR(COUNT(D13,D12)&lt;2,SUM(D12)=0),"待核",SUM(D13)/SUM(D12))</f>
        <v/>
      </c>
      <c r="C21" s="73" t="n">
        <v>0.1</v>
      </c>
      <c r="D21" s="57">
        <f>IF(ISNUMBER(B21),IF(B21&gt;=C21,"是","否"),"待核")</f>
        <v/>
      </c>
      <c r="E21" s="73">
        <f>IF(OR(COUNT(E13,E12)&lt;2,SUM(E12)=0),"待核",SUM(E13)/SUM(E12))</f>
        <v/>
      </c>
      <c r="F21" s="73" t="n">
        <v>0.1</v>
      </c>
      <c r="G21" s="57">
        <f>IF(ISNUMBER(E21),IF(E21&gt;=F21,"是","否"),"待核")</f>
        <v/>
      </c>
      <c r="H21" s="49" t="inlineStr">
        <is>
          <t>不低于10%；人员数据缺失或分母为零时为待核，不能按零或不达标处理。</t>
        </is>
      </c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 ht="15" customHeight="1">
      <c r="A23" s="51" t="inlineStr">
        <is>
          <t>成长性自动计算</t>
        </is>
      </c>
    </row>
    <row r="24" ht="26.39999961853027" customHeight="1">
      <c r="A24" s="48" t="inlineStr">
        <is>
          <t>指标</t>
        </is>
      </c>
      <c r="B24" s="48" t="inlineStr">
        <is>
          <t>当年增长率</t>
        </is>
      </c>
      <c r="C24" s="48" t="inlineStr">
        <is>
          <t>当年复核</t>
        </is>
      </c>
      <c r="D24" s="48" t="inlineStr">
        <is>
          <t>当年保守分</t>
        </is>
      </c>
      <c r="E24" s="48" t="inlineStr">
        <is>
          <t>下一年增长率</t>
        </is>
      </c>
      <c r="F24" s="48" t="inlineStr">
        <is>
          <t>下一年复核</t>
        </is>
      </c>
      <c r="G24" s="48" t="inlineStr">
        <is>
          <t>下一年保守分</t>
        </is>
      </c>
      <c r="H24" s="48" t="inlineStr">
        <is>
          <t>官方分数区间</t>
        </is>
      </c>
    </row>
    <row r="25" ht="26.39999961853027" customHeight="1">
      <c r="A25" s="49" t="inlineStr">
        <is>
          <t>销售收入增长率</t>
        </is>
      </c>
      <c r="B25" s="73">
        <f>IF(OR(B6&lt;0,C6&lt;0),0,IF(C6=0,0,IF(B6=0,D6/C6-1,0.5*(C6/B6+D6/C6)-1)))</f>
        <v/>
      </c>
      <c r="C25" s="57">
        <f>IF(OR(B6&lt;0,C6&lt;0),"专项复核",IF(C6=0,"第二年为0",IF(B6=0,"按后两年计算","正常")))</f>
        <v/>
      </c>
      <c r="D25" s="57">
        <f>IF(B25&lt;=0,0,IF(B25&gt;=35%,9,IF(B25&gt;=25%,7,IF(B25&gt;=15%,5,IF(B25&gt;=5%,3,1)))))</f>
        <v/>
      </c>
      <c r="E25" s="73">
        <f>IF(OR(C6&lt;0,D6&lt;0),0,IF(D6=0,0,IF(C6=0,E6/D6-1,0.5*(D6/C6+E6/D6)-1)))</f>
        <v/>
      </c>
      <c r="F25" s="57">
        <f>IF(OR(C6&lt;0,D6&lt;0),"专项复核",IF(D6=0,"第二年为0",IF(C6=0,"按后两年计算","正常")))</f>
        <v/>
      </c>
      <c r="G25" s="57">
        <f>IF(E25&lt;=0,0,IF(E25&gt;=35%,9,IF(E25&gt;=25%,7,IF(E25&gt;=15%,5,IF(E25&gt;=5%,3,1)))))</f>
        <v/>
      </c>
      <c r="H25" s="49" t="inlineStr">
        <is>
          <t>每项最高10分</t>
        </is>
      </c>
    </row>
    <row r="26" ht="26.39999961853027" customHeight="1">
      <c r="A26" s="49" t="inlineStr">
        <is>
          <t>净资产增长率</t>
        </is>
      </c>
      <c r="B26" s="73">
        <f>IF(OR(B7&lt;0,C7&lt;0),0,IF(C7=0,0,IF(B7=0,D7/C7-1,0.5*(C7/B7+D7/C7)-1)))</f>
        <v/>
      </c>
      <c r="C26" s="57">
        <f>IF(OR(B7&lt;0,C7&lt;0),"专项复核",IF(C7=0,"第二年为0",IF(B7=0,"按后两年计算","正常")))</f>
        <v/>
      </c>
      <c r="D26" s="57">
        <f>IF(B26&lt;=0,0,IF(B26&gt;=35%,9,IF(B26&gt;=25%,7,IF(B26&gt;=15%,5,IF(B26&gt;=5%,3,1)))))</f>
        <v/>
      </c>
      <c r="E26" s="73">
        <f>IF(OR(C7&lt;0,D7&lt;0),0,IF(D7=0,0,IF(C7=0,E7/D7-1,0.5*(D7/C7+E7/D7)-1)))</f>
        <v/>
      </c>
      <c r="F26" s="57">
        <f>IF(OR(C7&lt;0,D7&lt;0),"专项复核",IF(D7=0,"第二年为0",IF(C7=0,"按后两年计算","正常")))</f>
        <v/>
      </c>
      <c r="G26" s="57">
        <f>IF(E26&lt;=0,0,IF(E26&gt;=35%,9,IF(E26&gt;=25%,7,IF(E26&gt;=15%,5,IF(E26&gt;=5%,3,1)))))</f>
        <v/>
      </c>
      <c r="H26" s="49" t="inlineStr">
        <is>
          <t>每项最高10分</t>
        </is>
      </c>
    </row>
  </sheetData>
  <mergeCells count="4">
    <mergeCell ref="A23:H23"/>
    <mergeCell ref="A2:H2"/>
    <mergeCell ref="A16:H16"/>
    <mergeCell ref="A1:H1"/>
  </mergeCells>
  <pageMargins left="0.3" right="0.3" top="0.3" bottom="0.3" header="0.3" footer="0.3"/>
  <pageSetup orientation="landscape" paperSize="9" fitToHeight="0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S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28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  <col width="12" customWidth="1" min="10" max="10"/>
    <col width="17" customWidth="1" min="11" max="11"/>
    <col width="19" customWidth="1" min="12" max="12"/>
    <col width="12" customWidth="1" min="13" max="13"/>
    <col width="28" customWidth="1" min="14" max="14"/>
    <col width="20" customWidth="1" min="15" max="15"/>
    <col width="16" customWidth="1" min="16" max="16"/>
    <col width="16" customWidth="1" min="17" max="17"/>
    <col width="24" customWidth="1" min="18" max="18"/>
    <col width="28" customWidth="1" min="19" max="19"/>
  </cols>
  <sheetData>
    <row r="1" ht="34" customHeight="1">
      <c r="A1" s="46" t="inlineStr">
        <is>
          <t>知识产权逐件采集</t>
        </is>
      </c>
    </row>
    <row r="2" ht="28" customHeight="1">
      <c r="A2" s="40" t="inlineStr">
        <is>
          <t>关键规则：曾申报未通过不消耗Ⅱ类使用次数；Ⅱ类只有曾在通过认定中使用，才判为本次不可重复使用。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</row>
    <row r="4">
      <c r="A4" s="48" t="inlineStr">
        <is>
          <t>IP编号</t>
        </is>
      </c>
      <c r="B4" s="48" t="inlineStr">
        <is>
          <t>类别</t>
        </is>
      </c>
      <c r="C4" s="48" t="inlineStr">
        <is>
          <t>类型</t>
        </is>
      </c>
      <c r="D4" s="48" t="inlineStr">
        <is>
          <t>名称</t>
        </is>
      </c>
      <c r="E4" s="48" t="inlineStr">
        <is>
          <t>申请号</t>
        </is>
      </c>
      <c r="F4" s="48" t="inlineStr">
        <is>
          <t>授权号</t>
        </is>
      </c>
      <c r="G4" s="48" t="inlineStr">
        <is>
          <t>授权日</t>
        </is>
      </c>
      <c r="H4" s="48" t="inlineStr">
        <is>
          <t>法律状态</t>
        </is>
      </c>
      <c r="I4" s="48" t="inlineStr">
        <is>
          <t>权属符合</t>
        </is>
      </c>
      <c r="J4" s="48" t="inlineStr">
        <is>
          <t>获得方式</t>
        </is>
      </c>
      <c r="K4" s="48" t="inlineStr">
        <is>
          <t>曾申报未通过使用</t>
        </is>
      </c>
      <c r="L4" s="48" t="inlineStr">
        <is>
          <t>曾在通过认定中使用</t>
        </is>
      </c>
      <c r="M4" s="48" t="inlineStr">
        <is>
          <t>对应RD</t>
        </is>
      </c>
      <c r="N4" s="48" t="inlineStr">
        <is>
          <t>核心技术</t>
        </is>
      </c>
      <c r="O4" s="48" t="inlineStr">
        <is>
          <t>对应高品</t>
        </is>
      </c>
      <c r="P4" s="48" t="inlineStr">
        <is>
          <t>核心支持强度</t>
        </is>
      </c>
      <c r="Q4" s="48" t="inlineStr">
        <is>
          <t>证据完整度</t>
        </is>
      </c>
      <c r="R4" s="48" t="inlineStr">
        <is>
          <t>本次可用性</t>
        </is>
      </c>
      <c r="S4" s="48" t="inlineStr">
        <is>
          <t>备注</t>
        </is>
      </c>
    </row>
    <row r="5">
      <c r="A5" s="49" t="inlineStr">
        <is>
          <t>IP01</t>
        </is>
      </c>
      <c r="B5" s="50" t="str"/>
      <c r="C5" s="50" t="str"/>
      <c r="D5" s="50" t="str"/>
      <c r="E5" s="50" t="str"/>
      <c r="F5" s="50" t="str"/>
      <c r="G5" s="70" t="n"/>
      <c r="H5" s="50" t="str"/>
      <c r="I5" s="50" t="str"/>
      <c r="J5" s="50" t="str"/>
      <c r="K5" s="50" t="inlineStr">
        <is>
          <t>否</t>
        </is>
      </c>
      <c r="L5" s="50" t="inlineStr">
        <is>
          <t>否</t>
        </is>
      </c>
      <c r="M5" s="50" t="str"/>
      <c r="N5" s="50" t="str"/>
      <c r="O5" s="50" t="str"/>
      <c r="P5" s="50" t="str"/>
      <c r="Q5" s="50" t="str"/>
      <c r="R5" s="57">
        <f>IF(D5="","",IF(H5&lt;&gt;"有效","不可用：未有效",IF(I5&lt;&gt;"是","不可用：权属",IF(AND(B5="Ⅱ类",L5="是"),"不可用：已用于通过认定","可用"))))</f>
        <v/>
      </c>
      <c r="S5" s="50" t="str"/>
    </row>
    <row r="6">
      <c r="A6" s="49" t="inlineStr">
        <is>
          <t>IP02</t>
        </is>
      </c>
      <c r="B6" s="50" t="str"/>
      <c r="C6" s="50" t="str"/>
      <c r="D6" s="50" t="str"/>
      <c r="E6" s="50" t="str"/>
      <c r="F6" s="50" t="str"/>
      <c r="G6" s="70" t="n"/>
      <c r="H6" s="50" t="str"/>
      <c r="I6" s="50" t="str"/>
      <c r="J6" s="50" t="str"/>
      <c r="K6" s="50" t="inlineStr">
        <is>
          <t>否</t>
        </is>
      </c>
      <c r="L6" s="50" t="inlineStr">
        <is>
          <t>否</t>
        </is>
      </c>
      <c r="M6" s="50" t="str"/>
      <c r="N6" s="50" t="str"/>
      <c r="O6" s="50" t="str"/>
      <c r="P6" s="50" t="str"/>
      <c r="Q6" s="50" t="str"/>
      <c r="R6" s="57">
        <f>IF(D6="","",IF(H6&lt;&gt;"有效","不可用：未有效",IF(I6&lt;&gt;"是","不可用：权属",IF(AND(B6="Ⅱ类",L6="是"),"不可用：已用于通过认定","可用"))))</f>
        <v/>
      </c>
      <c r="S6" s="50" t="str"/>
    </row>
    <row r="7">
      <c r="A7" s="49" t="inlineStr">
        <is>
          <t>IP03</t>
        </is>
      </c>
      <c r="B7" s="50" t="str"/>
      <c r="C7" s="50" t="str"/>
      <c r="D7" s="50" t="str"/>
      <c r="E7" s="50" t="str"/>
      <c r="F7" s="50" t="str"/>
      <c r="G7" s="70" t="n"/>
      <c r="H7" s="50" t="str"/>
      <c r="I7" s="50" t="str"/>
      <c r="J7" s="50" t="str"/>
      <c r="K7" s="50" t="inlineStr">
        <is>
          <t>否</t>
        </is>
      </c>
      <c r="L7" s="50" t="inlineStr">
        <is>
          <t>否</t>
        </is>
      </c>
      <c r="M7" s="50" t="str"/>
      <c r="N7" s="50" t="str"/>
      <c r="O7" s="50" t="str"/>
      <c r="P7" s="50" t="str"/>
      <c r="Q7" s="50" t="str"/>
      <c r="R7" s="57">
        <f>IF(D7="","",IF(H7&lt;&gt;"有效","不可用：未有效",IF(I7&lt;&gt;"是","不可用：权属",IF(AND(B7="Ⅱ类",L7="是"),"不可用：已用于通过认定","可用"))))</f>
        <v/>
      </c>
      <c r="S7" s="50" t="str"/>
    </row>
    <row r="8">
      <c r="A8" s="49" t="inlineStr">
        <is>
          <t>IP04</t>
        </is>
      </c>
      <c r="B8" s="50" t="str"/>
      <c r="C8" s="50" t="str"/>
      <c r="D8" s="50" t="str"/>
      <c r="E8" s="50" t="str"/>
      <c r="F8" s="50" t="str"/>
      <c r="G8" s="70" t="n"/>
      <c r="H8" s="50" t="str"/>
      <c r="I8" s="50" t="str"/>
      <c r="J8" s="50" t="str"/>
      <c r="K8" s="50" t="inlineStr">
        <is>
          <t>否</t>
        </is>
      </c>
      <c r="L8" s="50" t="inlineStr">
        <is>
          <t>否</t>
        </is>
      </c>
      <c r="M8" s="50" t="str"/>
      <c r="N8" s="50" t="str"/>
      <c r="O8" s="50" t="str"/>
      <c r="P8" s="50" t="str"/>
      <c r="Q8" s="50" t="str"/>
      <c r="R8" s="57">
        <f>IF(D8="","",IF(H8&lt;&gt;"有效","不可用：未有效",IF(I8&lt;&gt;"是","不可用：权属",IF(AND(B8="Ⅱ类",L8="是"),"不可用：已用于通过认定","可用"))))</f>
        <v/>
      </c>
      <c r="S8" s="50" t="str"/>
    </row>
    <row r="9">
      <c r="A9" s="49" t="inlineStr">
        <is>
          <t>IP05</t>
        </is>
      </c>
      <c r="B9" s="50" t="str"/>
      <c r="C9" s="50" t="str"/>
      <c r="D9" s="50" t="str"/>
      <c r="E9" s="50" t="str"/>
      <c r="F9" s="50" t="str"/>
      <c r="G9" s="70" t="n"/>
      <c r="H9" s="50" t="str"/>
      <c r="I9" s="50" t="str"/>
      <c r="J9" s="50" t="str"/>
      <c r="K9" s="50" t="inlineStr">
        <is>
          <t>否</t>
        </is>
      </c>
      <c r="L9" s="50" t="inlineStr">
        <is>
          <t>否</t>
        </is>
      </c>
      <c r="M9" s="50" t="str"/>
      <c r="N9" s="50" t="str"/>
      <c r="O9" s="50" t="str"/>
      <c r="P9" s="50" t="str"/>
      <c r="Q9" s="50" t="str"/>
      <c r="R9" s="57">
        <f>IF(D9="","",IF(H9&lt;&gt;"有效","不可用：未有效",IF(I9&lt;&gt;"是","不可用：权属",IF(AND(B9="Ⅱ类",L9="是"),"不可用：已用于通过认定","可用"))))</f>
        <v/>
      </c>
      <c r="S9" s="50" t="str"/>
    </row>
    <row r="10">
      <c r="A10" s="49" t="inlineStr">
        <is>
          <t>IP06</t>
        </is>
      </c>
      <c r="B10" s="50" t="str"/>
      <c r="C10" s="50" t="str"/>
      <c r="D10" s="50" t="str"/>
      <c r="E10" s="50" t="str"/>
      <c r="F10" s="50" t="str"/>
      <c r="G10" s="70" t="n"/>
      <c r="H10" s="50" t="str"/>
      <c r="I10" s="50" t="str"/>
      <c r="J10" s="50" t="str"/>
      <c r="K10" s="50" t="inlineStr">
        <is>
          <t>否</t>
        </is>
      </c>
      <c r="L10" s="50" t="inlineStr">
        <is>
          <t>否</t>
        </is>
      </c>
      <c r="M10" s="50" t="str"/>
      <c r="N10" s="50" t="str"/>
      <c r="O10" s="50" t="str"/>
      <c r="P10" s="50" t="str"/>
      <c r="Q10" s="50" t="str"/>
      <c r="R10" s="57">
        <f>IF(D10="","",IF(H10&lt;&gt;"有效","不可用：未有效",IF(I10&lt;&gt;"是","不可用：权属",IF(AND(B10="Ⅱ类",L10="是"),"不可用：已用于通过认定","可用"))))</f>
        <v/>
      </c>
      <c r="S10" s="50" t="str"/>
    </row>
    <row r="11">
      <c r="A11" s="49" t="inlineStr">
        <is>
          <t>IP07</t>
        </is>
      </c>
      <c r="B11" s="50" t="str"/>
      <c r="C11" s="50" t="str"/>
      <c r="D11" s="50" t="str"/>
      <c r="E11" s="50" t="str"/>
      <c r="F11" s="50" t="str"/>
      <c r="G11" s="70" t="n"/>
      <c r="H11" s="50" t="str"/>
      <c r="I11" s="50" t="str"/>
      <c r="J11" s="50" t="str"/>
      <c r="K11" s="50" t="inlineStr">
        <is>
          <t>否</t>
        </is>
      </c>
      <c r="L11" s="50" t="inlineStr">
        <is>
          <t>否</t>
        </is>
      </c>
      <c r="M11" s="50" t="str"/>
      <c r="N11" s="50" t="str"/>
      <c r="O11" s="50" t="str"/>
      <c r="P11" s="50" t="str"/>
      <c r="Q11" s="50" t="str"/>
      <c r="R11" s="57">
        <f>IF(D11="","",IF(H11&lt;&gt;"有效","不可用：未有效",IF(I11&lt;&gt;"是","不可用：权属",IF(AND(B11="Ⅱ类",L11="是"),"不可用：已用于通过认定","可用"))))</f>
        <v/>
      </c>
      <c r="S11" s="50" t="str"/>
    </row>
    <row r="12">
      <c r="A12" s="49" t="inlineStr">
        <is>
          <t>IP08</t>
        </is>
      </c>
      <c r="B12" s="50" t="str"/>
      <c r="C12" s="50" t="str"/>
      <c r="D12" s="50" t="str"/>
      <c r="E12" s="50" t="str"/>
      <c r="F12" s="50" t="str"/>
      <c r="G12" s="70" t="n"/>
      <c r="H12" s="50" t="str"/>
      <c r="I12" s="50" t="str"/>
      <c r="J12" s="50" t="str"/>
      <c r="K12" s="50" t="inlineStr">
        <is>
          <t>否</t>
        </is>
      </c>
      <c r="L12" s="50" t="inlineStr">
        <is>
          <t>否</t>
        </is>
      </c>
      <c r="M12" s="50" t="str"/>
      <c r="N12" s="50" t="str"/>
      <c r="O12" s="50" t="str"/>
      <c r="P12" s="50" t="str"/>
      <c r="Q12" s="50" t="str"/>
      <c r="R12" s="57">
        <f>IF(D12="","",IF(H12&lt;&gt;"有效","不可用：未有效",IF(I12&lt;&gt;"是","不可用：权属",IF(AND(B12="Ⅱ类",L12="是"),"不可用：已用于通过认定","可用"))))</f>
        <v/>
      </c>
      <c r="S12" s="50" t="str"/>
    </row>
    <row r="13">
      <c r="A13" s="49" t="inlineStr">
        <is>
          <t>IP09</t>
        </is>
      </c>
      <c r="B13" s="50" t="str"/>
      <c r="C13" s="50" t="str"/>
      <c r="D13" s="50" t="str"/>
      <c r="E13" s="50" t="str"/>
      <c r="F13" s="50" t="str"/>
      <c r="G13" s="70" t="n"/>
      <c r="H13" s="50" t="str"/>
      <c r="I13" s="50" t="str"/>
      <c r="J13" s="50" t="str"/>
      <c r="K13" s="50" t="inlineStr">
        <is>
          <t>否</t>
        </is>
      </c>
      <c r="L13" s="50" t="inlineStr">
        <is>
          <t>否</t>
        </is>
      </c>
      <c r="M13" s="50" t="str"/>
      <c r="N13" s="50" t="str"/>
      <c r="O13" s="50" t="str"/>
      <c r="P13" s="50" t="str"/>
      <c r="Q13" s="50" t="str"/>
      <c r="R13" s="57">
        <f>IF(D13="","",IF(H13&lt;&gt;"有效","不可用：未有效",IF(I13&lt;&gt;"是","不可用：权属",IF(AND(B13="Ⅱ类",L13="是"),"不可用：已用于通过认定","可用"))))</f>
        <v/>
      </c>
      <c r="S13" s="50" t="str"/>
    </row>
    <row r="14">
      <c r="A14" s="49" t="inlineStr">
        <is>
          <t>IP10</t>
        </is>
      </c>
      <c r="B14" s="50" t="str"/>
      <c r="C14" s="50" t="str"/>
      <c r="D14" s="50" t="str"/>
      <c r="E14" s="50" t="str"/>
      <c r="F14" s="50" t="str"/>
      <c r="G14" s="70" t="n"/>
      <c r="H14" s="50" t="str"/>
      <c r="I14" s="50" t="str"/>
      <c r="J14" s="50" t="str"/>
      <c r="K14" s="50" t="inlineStr">
        <is>
          <t>否</t>
        </is>
      </c>
      <c r="L14" s="50" t="inlineStr">
        <is>
          <t>否</t>
        </is>
      </c>
      <c r="M14" s="50" t="str"/>
      <c r="N14" s="50" t="str"/>
      <c r="O14" s="50" t="str"/>
      <c r="P14" s="50" t="str"/>
      <c r="Q14" s="50" t="str"/>
      <c r="R14" s="57">
        <f>IF(D14="","",IF(H14&lt;&gt;"有效","不可用：未有效",IF(I14&lt;&gt;"是","不可用：权属",IF(AND(B14="Ⅱ类",L14="是"),"不可用：已用于通过认定","可用"))))</f>
        <v/>
      </c>
      <c r="S14" s="50" t="str"/>
    </row>
    <row r="15">
      <c r="A15" s="49" t="inlineStr">
        <is>
          <t>IP11</t>
        </is>
      </c>
      <c r="B15" s="50" t="str"/>
      <c r="C15" s="50" t="str"/>
      <c r="D15" s="50" t="str"/>
      <c r="E15" s="50" t="str"/>
      <c r="F15" s="50" t="str"/>
      <c r="G15" s="70" t="n"/>
      <c r="H15" s="50" t="str"/>
      <c r="I15" s="50" t="str"/>
      <c r="J15" s="50" t="str"/>
      <c r="K15" s="50" t="inlineStr">
        <is>
          <t>否</t>
        </is>
      </c>
      <c r="L15" s="50" t="inlineStr">
        <is>
          <t>否</t>
        </is>
      </c>
      <c r="M15" s="50" t="str"/>
      <c r="N15" s="50" t="str"/>
      <c r="O15" s="50" t="str"/>
      <c r="P15" s="50" t="str"/>
      <c r="Q15" s="50" t="str"/>
      <c r="R15" s="57">
        <f>IF(D15="","",IF(H15&lt;&gt;"有效","不可用：未有效",IF(I15&lt;&gt;"是","不可用：权属",IF(AND(B15="Ⅱ类",L15="是"),"不可用：已用于通过认定","可用"))))</f>
        <v/>
      </c>
      <c r="S15" s="50" t="str"/>
    </row>
    <row r="16">
      <c r="A16" s="49" t="inlineStr">
        <is>
          <t>IP12</t>
        </is>
      </c>
      <c r="B16" s="50" t="str"/>
      <c r="C16" s="50" t="str"/>
      <c r="D16" s="50" t="str"/>
      <c r="E16" s="50" t="str"/>
      <c r="F16" s="50" t="str"/>
      <c r="G16" s="70" t="n"/>
      <c r="H16" s="50" t="str"/>
      <c r="I16" s="50" t="str"/>
      <c r="J16" s="50" t="str"/>
      <c r="K16" s="50" t="inlineStr">
        <is>
          <t>否</t>
        </is>
      </c>
      <c r="L16" s="50" t="inlineStr">
        <is>
          <t>否</t>
        </is>
      </c>
      <c r="M16" s="50" t="str"/>
      <c r="N16" s="50" t="str"/>
      <c r="O16" s="50" t="str"/>
      <c r="P16" s="50" t="str"/>
      <c r="Q16" s="50" t="str"/>
      <c r="R16" s="57">
        <f>IF(D16="","",IF(H16&lt;&gt;"有效","不可用：未有效",IF(I16&lt;&gt;"是","不可用：权属",IF(AND(B16="Ⅱ类",L16="是"),"不可用：已用于通过认定","可用"))))</f>
        <v/>
      </c>
      <c r="S16" s="50" t="str"/>
    </row>
    <row r="17">
      <c r="A17" s="49" t="inlineStr">
        <is>
          <t>IP13</t>
        </is>
      </c>
      <c r="B17" s="50" t="str"/>
      <c r="C17" s="50" t="str"/>
      <c r="D17" s="50" t="str"/>
      <c r="E17" s="50" t="str"/>
      <c r="F17" s="50" t="str"/>
      <c r="G17" s="70" t="n"/>
      <c r="H17" s="50" t="str"/>
      <c r="I17" s="50" t="str"/>
      <c r="J17" s="50" t="str"/>
      <c r="K17" s="50" t="inlineStr">
        <is>
          <t>否</t>
        </is>
      </c>
      <c r="L17" s="50" t="inlineStr">
        <is>
          <t>否</t>
        </is>
      </c>
      <c r="M17" s="50" t="str"/>
      <c r="N17" s="50" t="str"/>
      <c r="O17" s="50" t="str"/>
      <c r="P17" s="50" t="str"/>
      <c r="Q17" s="50" t="str"/>
      <c r="R17" s="57">
        <f>IF(D17="","",IF(H17&lt;&gt;"有效","不可用：未有效",IF(I17&lt;&gt;"是","不可用：权属",IF(AND(B17="Ⅱ类",L17="是"),"不可用：已用于通过认定","可用"))))</f>
        <v/>
      </c>
      <c r="S17" s="50" t="str"/>
    </row>
    <row r="18">
      <c r="A18" s="49" t="inlineStr">
        <is>
          <t>IP14</t>
        </is>
      </c>
      <c r="B18" s="50" t="str"/>
      <c r="C18" s="50" t="str"/>
      <c r="D18" s="50" t="str"/>
      <c r="E18" s="50" t="str"/>
      <c r="F18" s="50" t="str"/>
      <c r="G18" s="70" t="n"/>
      <c r="H18" s="50" t="str"/>
      <c r="I18" s="50" t="str"/>
      <c r="J18" s="50" t="str"/>
      <c r="K18" s="50" t="inlineStr">
        <is>
          <t>否</t>
        </is>
      </c>
      <c r="L18" s="50" t="inlineStr">
        <is>
          <t>否</t>
        </is>
      </c>
      <c r="M18" s="50" t="str"/>
      <c r="N18" s="50" t="str"/>
      <c r="O18" s="50" t="str"/>
      <c r="P18" s="50" t="str"/>
      <c r="Q18" s="50" t="str"/>
      <c r="R18" s="57">
        <f>IF(D18="","",IF(H18&lt;&gt;"有效","不可用：未有效",IF(I18&lt;&gt;"是","不可用：权属",IF(AND(B18="Ⅱ类",L18="是"),"不可用：已用于通过认定","可用"))))</f>
        <v/>
      </c>
      <c r="S18" s="50" t="str"/>
    </row>
    <row r="19">
      <c r="A19" s="49" t="inlineStr">
        <is>
          <t>IP15</t>
        </is>
      </c>
      <c r="B19" s="50" t="str"/>
      <c r="C19" s="50" t="str"/>
      <c r="D19" s="50" t="str"/>
      <c r="E19" s="50" t="str"/>
      <c r="F19" s="50" t="str"/>
      <c r="G19" s="70" t="n"/>
      <c r="H19" s="50" t="str"/>
      <c r="I19" s="50" t="str"/>
      <c r="J19" s="50" t="str"/>
      <c r="K19" s="50" t="inlineStr">
        <is>
          <t>否</t>
        </is>
      </c>
      <c r="L19" s="50" t="inlineStr">
        <is>
          <t>否</t>
        </is>
      </c>
      <c r="M19" s="50" t="str"/>
      <c r="N19" s="50" t="str"/>
      <c r="O19" s="50" t="str"/>
      <c r="P19" s="50" t="str"/>
      <c r="Q19" s="50" t="str"/>
      <c r="R19" s="57">
        <f>IF(D19="","",IF(H19&lt;&gt;"有效","不可用：未有效",IF(I19&lt;&gt;"是","不可用：权属",IF(AND(B19="Ⅱ类",L19="是"),"不可用：已用于通过认定","可用"))))</f>
        <v/>
      </c>
      <c r="S19" s="50" t="str"/>
    </row>
    <row r="20">
      <c r="A20" s="49" t="inlineStr">
        <is>
          <t>IP16</t>
        </is>
      </c>
      <c r="B20" s="50" t="str"/>
      <c r="C20" s="50" t="str"/>
      <c r="D20" s="50" t="str"/>
      <c r="E20" s="50" t="str"/>
      <c r="F20" s="50" t="str"/>
      <c r="G20" s="70" t="n"/>
      <c r="H20" s="50" t="str"/>
      <c r="I20" s="50" t="str"/>
      <c r="J20" s="50" t="str"/>
      <c r="K20" s="50" t="inlineStr">
        <is>
          <t>否</t>
        </is>
      </c>
      <c r="L20" s="50" t="inlineStr">
        <is>
          <t>否</t>
        </is>
      </c>
      <c r="M20" s="50" t="str"/>
      <c r="N20" s="50" t="str"/>
      <c r="O20" s="50" t="str"/>
      <c r="P20" s="50" t="str"/>
      <c r="Q20" s="50" t="str"/>
      <c r="R20" s="57">
        <f>IF(D20="","",IF(H20&lt;&gt;"有效","不可用：未有效",IF(I20&lt;&gt;"是","不可用：权属",IF(AND(B20="Ⅱ类",L20="是"),"不可用：已用于通过认定","可用"))))</f>
        <v/>
      </c>
      <c r="S20" s="50" t="str"/>
    </row>
    <row r="21">
      <c r="A21" s="49" t="inlineStr">
        <is>
          <t>IP17</t>
        </is>
      </c>
      <c r="B21" s="50" t="str"/>
      <c r="C21" s="50" t="str"/>
      <c r="D21" s="50" t="str"/>
      <c r="E21" s="50" t="str"/>
      <c r="F21" s="50" t="str"/>
      <c r="G21" s="70" t="n"/>
      <c r="H21" s="50" t="str"/>
      <c r="I21" s="50" t="str"/>
      <c r="J21" s="50" t="str"/>
      <c r="K21" s="50" t="inlineStr">
        <is>
          <t>否</t>
        </is>
      </c>
      <c r="L21" s="50" t="inlineStr">
        <is>
          <t>否</t>
        </is>
      </c>
      <c r="M21" s="50" t="str"/>
      <c r="N21" s="50" t="str"/>
      <c r="O21" s="50" t="str"/>
      <c r="P21" s="50" t="str"/>
      <c r="Q21" s="50" t="str"/>
      <c r="R21" s="57">
        <f>IF(D21="","",IF(H21&lt;&gt;"有效","不可用：未有效",IF(I21&lt;&gt;"是","不可用：权属",IF(AND(B21="Ⅱ类",L21="是"),"不可用：已用于通过认定","可用"))))</f>
        <v/>
      </c>
      <c r="S21" s="50" t="str"/>
    </row>
    <row r="22">
      <c r="A22" s="49" t="inlineStr">
        <is>
          <t>IP18</t>
        </is>
      </c>
      <c r="B22" s="50" t="str"/>
      <c r="C22" s="50" t="str"/>
      <c r="D22" s="50" t="str"/>
      <c r="E22" s="50" t="str"/>
      <c r="F22" s="50" t="str"/>
      <c r="G22" s="70" t="n"/>
      <c r="H22" s="50" t="str"/>
      <c r="I22" s="50" t="str"/>
      <c r="J22" s="50" t="str"/>
      <c r="K22" s="50" t="inlineStr">
        <is>
          <t>否</t>
        </is>
      </c>
      <c r="L22" s="50" t="inlineStr">
        <is>
          <t>否</t>
        </is>
      </c>
      <c r="M22" s="50" t="str"/>
      <c r="N22" s="50" t="str"/>
      <c r="O22" s="50" t="str"/>
      <c r="P22" s="50" t="str"/>
      <c r="Q22" s="50" t="str"/>
      <c r="R22" s="57">
        <f>IF(D22="","",IF(H22&lt;&gt;"有效","不可用：未有效",IF(I22&lt;&gt;"是","不可用：权属",IF(AND(B22="Ⅱ类",L22="是"),"不可用：已用于通过认定","可用"))))</f>
        <v/>
      </c>
      <c r="S22" s="50" t="str"/>
    </row>
    <row r="23">
      <c r="A23" s="49" t="inlineStr">
        <is>
          <t>IP19</t>
        </is>
      </c>
      <c r="B23" s="50" t="str"/>
      <c r="C23" s="50" t="str"/>
      <c r="D23" s="50" t="str"/>
      <c r="E23" s="50" t="str"/>
      <c r="F23" s="50" t="str"/>
      <c r="G23" s="70" t="n"/>
      <c r="H23" s="50" t="str"/>
      <c r="I23" s="50" t="str"/>
      <c r="J23" s="50" t="str"/>
      <c r="K23" s="50" t="inlineStr">
        <is>
          <t>否</t>
        </is>
      </c>
      <c r="L23" s="50" t="inlineStr">
        <is>
          <t>否</t>
        </is>
      </c>
      <c r="M23" s="50" t="str"/>
      <c r="N23" s="50" t="str"/>
      <c r="O23" s="50" t="str"/>
      <c r="P23" s="50" t="str"/>
      <c r="Q23" s="50" t="str"/>
      <c r="R23" s="57">
        <f>IF(D23="","",IF(H23&lt;&gt;"有效","不可用：未有效",IF(I23&lt;&gt;"是","不可用：权属",IF(AND(B23="Ⅱ类",L23="是"),"不可用：已用于通过认定","可用"))))</f>
        <v/>
      </c>
      <c r="S23" s="50" t="str"/>
    </row>
    <row r="24">
      <c r="A24" s="49" t="inlineStr">
        <is>
          <t>IP20</t>
        </is>
      </c>
      <c r="B24" s="50" t="str"/>
      <c r="C24" s="50" t="str"/>
      <c r="D24" s="50" t="str"/>
      <c r="E24" s="50" t="str"/>
      <c r="F24" s="50" t="str"/>
      <c r="G24" s="70" t="n"/>
      <c r="H24" s="50" t="str"/>
      <c r="I24" s="50" t="str"/>
      <c r="J24" s="50" t="str"/>
      <c r="K24" s="50" t="inlineStr">
        <is>
          <t>否</t>
        </is>
      </c>
      <c r="L24" s="50" t="inlineStr">
        <is>
          <t>否</t>
        </is>
      </c>
      <c r="M24" s="50" t="str"/>
      <c r="N24" s="50" t="str"/>
      <c r="O24" s="50" t="str"/>
      <c r="P24" s="50" t="str"/>
      <c r="Q24" s="50" t="str"/>
      <c r="R24" s="57">
        <f>IF(D24="","",IF(H24&lt;&gt;"有效","不可用：未有效",IF(I24&lt;&gt;"是","不可用：权属",IF(AND(B24="Ⅱ类",L24="是"),"不可用：已用于通过认定","可用"))))</f>
        <v/>
      </c>
      <c r="S24" s="50" t="str"/>
    </row>
    <row r="25">
      <c r="A25" s="49" t="inlineStr">
        <is>
          <t>IP21</t>
        </is>
      </c>
      <c r="B25" s="50" t="str"/>
      <c r="C25" s="50" t="str"/>
      <c r="D25" s="50" t="str"/>
      <c r="E25" s="50" t="str"/>
      <c r="F25" s="50" t="str"/>
      <c r="G25" s="70" t="n"/>
      <c r="H25" s="50" t="str"/>
      <c r="I25" s="50" t="str"/>
      <c r="J25" s="50" t="str"/>
      <c r="K25" s="50" t="inlineStr">
        <is>
          <t>否</t>
        </is>
      </c>
      <c r="L25" s="50" t="inlineStr">
        <is>
          <t>否</t>
        </is>
      </c>
      <c r="M25" s="50" t="str"/>
      <c r="N25" s="50" t="str"/>
      <c r="O25" s="50" t="str"/>
      <c r="P25" s="50" t="str"/>
      <c r="Q25" s="50" t="str"/>
      <c r="R25" s="57">
        <f>IF(D25="","",IF(H25&lt;&gt;"有效","不可用：未有效",IF(I25&lt;&gt;"是","不可用：权属",IF(AND(B25="Ⅱ类",L25="是"),"不可用：已用于通过认定","可用"))))</f>
        <v/>
      </c>
      <c r="S25" s="50" t="str"/>
    </row>
    <row r="26">
      <c r="A26" s="49" t="inlineStr">
        <is>
          <t>IP22</t>
        </is>
      </c>
      <c r="B26" s="50" t="str"/>
      <c r="C26" s="50" t="str"/>
      <c r="D26" s="50" t="str"/>
      <c r="E26" s="50" t="str"/>
      <c r="F26" s="50" t="str"/>
      <c r="G26" s="70" t="n"/>
      <c r="H26" s="50" t="str"/>
      <c r="I26" s="50" t="str"/>
      <c r="J26" s="50" t="str"/>
      <c r="K26" s="50" t="inlineStr">
        <is>
          <t>否</t>
        </is>
      </c>
      <c r="L26" s="50" t="inlineStr">
        <is>
          <t>否</t>
        </is>
      </c>
      <c r="M26" s="50" t="str"/>
      <c r="N26" s="50" t="str"/>
      <c r="O26" s="50" t="str"/>
      <c r="P26" s="50" t="str"/>
      <c r="Q26" s="50" t="str"/>
      <c r="R26" s="57">
        <f>IF(D26="","",IF(H26&lt;&gt;"有效","不可用：未有效",IF(I26&lt;&gt;"是","不可用：权属",IF(AND(B26="Ⅱ类",L26="是"),"不可用：已用于通过认定","可用"))))</f>
        <v/>
      </c>
      <c r="S26" s="50" t="str"/>
    </row>
    <row r="27">
      <c r="A27" s="49" t="inlineStr">
        <is>
          <t>IP23</t>
        </is>
      </c>
      <c r="B27" s="50" t="str"/>
      <c r="C27" s="50" t="str"/>
      <c r="D27" s="50" t="str"/>
      <c r="E27" s="50" t="str"/>
      <c r="F27" s="50" t="str"/>
      <c r="G27" s="70" t="n"/>
      <c r="H27" s="50" t="str"/>
      <c r="I27" s="50" t="str"/>
      <c r="J27" s="50" t="str"/>
      <c r="K27" s="50" t="inlineStr">
        <is>
          <t>否</t>
        </is>
      </c>
      <c r="L27" s="50" t="inlineStr">
        <is>
          <t>否</t>
        </is>
      </c>
      <c r="M27" s="50" t="str"/>
      <c r="N27" s="50" t="str"/>
      <c r="O27" s="50" t="str"/>
      <c r="P27" s="50" t="str"/>
      <c r="Q27" s="50" t="str"/>
      <c r="R27" s="57">
        <f>IF(D27="","",IF(H27&lt;&gt;"有效","不可用：未有效",IF(I27&lt;&gt;"是","不可用：权属",IF(AND(B27="Ⅱ类",L27="是"),"不可用：已用于通过认定","可用"))))</f>
        <v/>
      </c>
      <c r="S27" s="50" t="str"/>
    </row>
    <row r="28">
      <c r="A28" s="49" t="inlineStr">
        <is>
          <t>IP24</t>
        </is>
      </c>
      <c r="B28" s="50" t="str"/>
      <c r="C28" s="50" t="str"/>
      <c r="D28" s="50" t="str"/>
      <c r="E28" s="50" t="str"/>
      <c r="F28" s="50" t="str"/>
      <c r="G28" s="70" t="n"/>
      <c r="H28" s="50" t="str"/>
      <c r="I28" s="50" t="str"/>
      <c r="J28" s="50" t="str"/>
      <c r="K28" s="50" t="inlineStr">
        <is>
          <t>否</t>
        </is>
      </c>
      <c r="L28" s="50" t="inlineStr">
        <is>
          <t>否</t>
        </is>
      </c>
      <c r="M28" s="50" t="str"/>
      <c r="N28" s="50" t="str"/>
      <c r="O28" s="50" t="str"/>
      <c r="P28" s="50" t="str"/>
      <c r="Q28" s="50" t="str"/>
      <c r="R28" s="57">
        <f>IF(D28="","",IF(H28&lt;&gt;"有效","不可用：未有效",IF(I28&lt;&gt;"是","不可用：权属",IF(AND(B28="Ⅱ类",L28="是"),"不可用：已用于通过认定","可用"))))</f>
        <v/>
      </c>
      <c r="S28" s="50" t="str"/>
    </row>
    <row r="29">
      <c r="A29" s="49" t="inlineStr">
        <is>
          <t>IP25</t>
        </is>
      </c>
      <c r="B29" s="50" t="str"/>
      <c r="C29" s="50" t="str"/>
      <c r="D29" s="50" t="str"/>
      <c r="E29" s="50" t="str"/>
      <c r="F29" s="50" t="str"/>
      <c r="G29" s="70" t="n"/>
      <c r="H29" s="50" t="str"/>
      <c r="I29" s="50" t="str"/>
      <c r="J29" s="50" t="str"/>
      <c r="K29" s="50" t="inlineStr">
        <is>
          <t>否</t>
        </is>
      </c>
      <c r="L29" s="50" t="inlineStr">
        <is>
          <t>否</t>
        </is>
      </c>
      <c r="M29" s="50" t="str"/>
      <c r="N29" s="50" t="str"/>
      <c r="O29" s="50" t="str"/>
      <c r="P29" s="50" t="str"/>
      <c r="Q29" s="50" t="str"/>
      <c r="R29" s="57">
        <f>IF(D29="","",IF(H29&lt;&gt;"有效","不可用：未有效",IF(I29&lt;&gt;"是","不可用：权属",IF(AND(B29="Ⅱ类",L29="是"),"不可用：已用于通过认定","可用"))))</f>
        <v/>
      </c>
      <c r="S29" s="50" t="str"/>
    </row>
    <row r="30">
      <c r="A30" s="49" t="inlineStr">
        <is>
          <t>IP26</t>
        </is>
      </c>
      <c r="B30" s="50" t="str"/>
      <c r="C30" s="50" t="str"/>
      <c r="D30" s="50" t="str"/>
      <c r="E30" s="50" t="str"/>
      <c r="F30" s="50" t="str"/>
      <c r="G30" s="70" t="n"/>
      <c r="H30" s="50" t="str"/>
      <c r="I30" s="50" t="str"/>
      <c r="J30" s="50" t="str"/>
      <c r="K30" s="50" t="inlineStr">
        <is>
          <t>否</t>
        </is>
      </c>
      <c r="L30" s="50" t="inlineStr">
        <is>
          <t>否</t>
        </is>
      </c>
      <c r="M30" s="50" t="str"/>
      <c r="N30" s="50" t="str"/>
      <c r="O30" s="50" t="str"/>
      <c r="P30" s="50" t="str"/>
      <c r="Q30" s="50" t="str"/>
      <c r="R30" s="57">
        <f>IF(D30="","",IF(H30&lt;&gt;"有效","不可用：未有效",IF(I30&lt;&gt;"是","不可用：权属",IF(AND(B30="Ⅱ类",L30="是"),"不可用：已用于通过认定","可用"))))</f>
        <v/>
      </c>
      <c r="S30" s="50" t="str"/>
    </row>
    <row r="31">
      <c r="A31" s="49" t="inlineStr">
        <is>
          <t>IP27</t>
        </is>
      </c>
      <c r="B31" s="50" t="str"/>
      <c r="C31" s="50" t="str"/>
      <c r="D31" s="50" t="str"/>
      <c r="E31" s="50" t="str"/>
      <c r="F31" s="50" t="str"/>
      <c r="G31" s="70" t="n"/>
      <c r="H31" s="50" t="str"/>
      <c r="I31" s="50" t="str"/>
      <c r="J31" s="50" t="str"/>
      <c r="K31" s="50" t="inlineStr">
        <is>
          <t>否</t>
        </is>
      </c>
      <c r="L31" s="50" t="inlineStr">
        <is>
          <t>否</t>
        </is>
      </c>
      <c r="M31" s="50" t="str"/>
      <c r="N31" s="50" t="str"/>
      <c r="O31" s="50" t="str"/>
      <c r="P31" s="50" t="str"/>
      <c r="Q31" s="50" t="str"/>
      <c r="R31" s="57">
        <f>IF(D31="","",IF(H31&lt;&gt;"有效","不可用：未有效",IF(I31&lt;&gt;"是","不可用：权属",IF(AND(B31="Ⅱ类",L31="是"),"不可用：已用于通过认定","可用"))))</f>
        <v/>
      </c>
      <c r="S31" s="50" t="str"/>
    </row>
    <row r="32">
      <c r="A32" s="49" t="inlineStr">
        <is>
          <t>IP28</t>
        </is>
      </c>
      <c r="B32" s="50" t="str"/>
      <c r="C32" s="50" t="str"/>
      <c r="D32" s="50" t="str"/>
      <c r="E32" s="50" t="str"/>
      <c r="F32" s="50" t="str"/>
      <c r="G32" s="70" t="n"/>
      <c r="H32" s="50" t="str"/>
      <c r="I32" s="50" t="str"/>
      <c r="J32" s="50" t="str"/>
      <c r="K32" s="50" t="inlineStr">
        <is>
          <t>否</t>
        </is>
      </c>
      <c r="L32" s="50" t="inlineStr">
        <is>
          <t>否</t>
        </is>
      </c>
      <c r="M32" s="50" t="str"/>
      <c r="N32" s="50" t="str"/>
      <c r="O32" s="50" t="str"/>
      <c r="P32" s="50" t="str"/>
      <c r="Q32" s="50" t="str"/>
      <c r="R32" s="57">
        <f>IF(D32="","",IF(H32&lt;&gt;"有效","不可用：未有效",IF(I32&lt;&gt;"是","不可用：权属",IF(AND(B32="Ⅱ类",L32="是"),"不可用：已用于通过认定","可用"))))</f>
        <v/>
      </c>
      <c r="S32" s="50" t="str"/>
    </row>
    <row r="33">
      <c r="A33" s="49" t="inlineStr">
        <is>
          <t>IP29</t>
        </is>
      </c>
      <c r="B33" s="50" t="str"/>
      <c r="C33" s="50" t="str"/>
      <c r="D33" s="50" t="str"/>
      <c r="E33" s="50" t="str"/>
      <c r="F33" s="50" t="str"/>
      <c r="G33" s="70" t="n"/>
      <c r="H33" s="50" t="str"/>
      <c r="I33" s="50" t="str"/>
      <c r="J33" s="50" t="str"/>
      <c r="K33" s="50" t="inlineStr">
        <is>
          <t>否</t>
        </is>
      </c>
      <c r="L33" s="50" t="inlineStr">
        <is>
          <t>否</t>
        </is>
      </c>
      <c r="M33" s="50" t="str"/>
      <c r="N33" s="50" t="str"/>
      <c r="O33" s="50" t="str"/>
      <c r="P33" s="50" t="str"/>
      <c r="Q33" s="50" t="str"/>
      <c r="R33" s="57">
        <f>IF(D33="","",IF(H33&lt;&gt;"有效","不可用：未有效",IF(I33&lt;&gt;"是","不可用：权属",IF(AND(B33="Ⅱ类",L33="是"),"不可用：已用于通过认定","可用"))))</f>
        <v/>
      </c>
      <c r="S33" s="50" t="str"/>
    </row>
    <row r="34">
      <c r="A34" s="49" t="inlineStr">
        <is>
          <t>IP30</t>
        </is>
      </c>
      <c r="B34" s="50" t="str"/>
      <c r="C34" s="50" t="str"/>
      <c r="D34" s="50" t="str"/>
      <c r="E34" s="50" t="str"/>
      <c r="F34" s="50" t="str"/>
      <c r="G34" s="70" t="n"/>
      <c r="H34" s="50" t="str"/>
      <c r="I34" s="50" t="str"/>
      <c r="J34" s="50" t="str"/>
      <c r="K34" s="50" t="inlineStr">
        <is>
          <t>否</t>
        </is>
      </c>
      <c r="L34" s="50" t="inlineStr">
        <is>
          <t>否</t>
        </is>
      </c>
      <c r="M34" s="50" t="str"/>
      <c r="N34" s="50" t="str"/>
      <c r="O34" s="50" t="str"/>
      <c r="P34" s="50" t="str"/>
      <c r="Q34" s="50" t="str"/>
      <c r="R34" s="57">
        <f>IF(D34="","",IF(H34&lt;&gt;"有效","不可用：未有效",IF(I34&lt;&gt;"是","不可用：权属",IF(AND(B34="Ⅱ类",L34="是"),"不可用：已用于通过认定","可用"))))</f>
        <v/>
      </c>
      <c r="S34" s="50" t="str"/>
    </row>
    <row r="35">
      <c r="A35" s="49" t="inlineStr">
        <is>
          <t>IP31</t>
        </is>
      </c>
      <c r="B35" s="50" t="str"/>
      <c r="C35" s="50" t="str"/>
      <c r="D35" s="50" t="str"/>
      <c r="E35" s="50" t="str"/>
      <c r="F35" s="50" t="str"/>
      <c r="G35" s="70" t="n"/>
      <c r="H35" s="50" t="str"/>
      <c r="I35" s="50" t="str"/>
      <c r="J35" s="50" t="str"/>
      <c r="K35" s="50" t="inlineStr">
        <is>
          <t>否</t>
        </is>
      </c>
      <c r="L35" s="50" t="inlineStr">
        <is>
          <t>否</t>
        </is>
      </c>
      <c r="M35" s="50" t="str"/>
      <c r="N35" s="50" t="str"/>
      <c r="O35" s="50" t="str"/>
      <c r="P35" s="50" t="str"/>
      <c r="Q35" s="50" t="str"/>
      <c r="R35" s="57">
        <f>IF(D35="","",IF(H35&lt;&gt;"有效","不可用：未有效",IF(I35&lt;&gt;"是","不可用：权属",IF(AND(B35="Ⅱ类",L35="是"),"不可用：已用于通过认定","可用"))))</f>
        <v/>
      </c>
      <c r="S35" s="50" t="str"/>
    </row>
    <row r="36">
      <c r="A36" s="49" t="inlineStr">
        <is>
          <t>IP32</t>
        </is>
      </c>
      <c r="B36" s="50" t="str"/>
      <c r="C36" s="50" t="str"/>
      <c r="D36" s="50" t="str"/>
      <c r="E36" s="50" t="str"/>
      <c r="F36" s="50" t="str"/>
      <c r="G36" s="70" t="n"/>
      <c r="H36" s="50" t="str"/>
      <c r="I36" s="50" t="str"/>
      <c r="J36" s="50" t="str"/>
      <c r="K36" s="50" t="inlineStr">
        <is>
          <t>否</t>
        </is>
      </c>
      <c r="L36" s="50" t="inlineStr">
        <is>
          <t>否</t>
        </is>
      </c>
      <c r="M36" s="50" t="str"/>
      <c r="N36" s="50" t="str"/>
      <c r="O36" s="50" t="str"/>
      <c r="P36" s="50" t="str"/>
      <c r="Q36" s="50" t="str"/>
      <c r="R36" s="57">
        <f>IF(D36="","",IF(H36&lt;&gt;"有效","不可用：未有效",IF(I36&lt;&gt;"是","不可用：权属",IF(AND(B36="Ⅱ类",L36="是"),"不可用：已用于通过认定","可用"))))</f>
        <v/>
      </c>
      <c r="S36" s="50" t="str"/>
    </row>
    <row r="37">
      <c r="A37" s="49" t="inlineStr">
        <is>
          <t>IP33</t>
        </is>
      </c>
      <c r="B37" s="50" t="str"/>
      <c r="C37" s="50" t="str"/>
      <c r="D37" s="50" t="str"/>
      <c r="E37" s="50" t="str"/>
      <c r="F37" s="50" t="str"/>
      <c r="G37" s="70" t="n"/>
      <c r="H37" s="50" t="str"/>
      <c r="I37" s="50" t="str"/>
      <c r="J37" s="50" t="str"/>
      <c r="K37" s="50" t="inlineStr">
        <is>
          <t>否</t>
        </is>
      </c>
      <c r="L37" s="50" t="inlineStr">
        <is>
          <t>否</t>
        </is>
      </c>
      <c r="M37" s="50" t="str"/>
      <c r="N37" s="50" t="str"/>
      <c r="O37" s="50" t="str"/>
      <c r="P37" s="50" t="str"/>
      <c r="Q37" s="50" t="str"/>
      <c r="R37" s="57">
        <f>IF(D37="","",IF(H37&lt;&gt;"有效","不可用：未有效",IF(I37&lt;&gt;"是","不可用：权属",IF(AND(B37="Ⅱ类",L37="是"),"不可用：已用于通过认定","可用"))))</f>
        <v/>
      </c>
      <c r="S37" s="50" t="str"/>
    </row>
    <row r="38">
      <c r="A38" s="49" t="inlineStr">
        <is>
          <t>IP34</t>
        </is>
      </c>
      <c r="B38" s="50" t="str"/>
      <c r="C38" s="50" t="str"/>
      <c r="D38" s="50" t="str"/>
      <c r="E38" s="50" t="str"/>
      <c r="F38" s="50" t="str"/>
      <c r="G38" s="70" t="n"/>
      <c r="H38" s="50" t="str"/>
      <c r="I38" s="50" t="str"/>
      <c r="J38" s="50" t="str"/>
      <c r="K38" s="50" t="inlineStr">
        <is>
          <t>否</t>
        </is>
      </c>
      <c r="L38" s="50" t="inlineStr">
        <is>
          <t>否</t>
        </is>
      </c>
      <c r="M38" s="50" t="str"/>
      <c r="N38" s="50" t="str"/>
      <c r="O38" s="50" t="str"/>
      <c r="P38" s="50" t="str"/>
      <c r="Q38" s="50" t="str"/>
      <c r="R38" s="57">
        <f>IF(D38="","",IF(H38&lt;&gt;"有效","不可用：未有效",IF(I38&lt;&gt;"是","不可用：权属",IF(AND(B38="Ⅱ类",L38="是"),"不可用：已用于通过认定","可用"))))</f>
        <v/>
      </c>
      <c r="S38" s="50" t="str"/>
    </row>
    <row r="39">
      <c r="A39" s="49" t="inlineStr">
        <is>
          <t>IP35</t>
        </is>
      </c>
      <c r="B39" s="50" t="str"/>
      <c r="C39" s="50" t="str"/>
      <c r="D39" s="50" t="str"/>
      <c r="E39" s="50" t="str"/>
      <c r="F39" s="50" t="str"/>
      <c r="G39" s="70" t="n"/>
      <c r="H39" s="50" t="str"/>
      <c r="I39" s="50" t="str"/>
      <c r="J39" s="50" t="str"/>
      <c r="K39" s="50" t="inlineStr">
        <is>
          <t>否</t>
        </is>
      </c>
      <c r="L39" s="50" t="inlineStr">
        <is>
          <t>否</t>
        </is>
      </c>
      <c r="M39" s="50" t="str"/>
      <c r="N39" s="50" t="str"/>
      <c r="O39" s="50" t="str"/>
      <c r="P39" s="50" t="str"/>
      <c r="Q39" s="50" t="str"/>
      <c r="R39" s="57">
        <f>IF(D39="","",IF(H39&lt;&gt;"有效","不可用：未有效",IF(I39&lt;&gt;"是","不可用：权属",IF(AND(B39="Ⅱ类",L39="是"),"不可用：已用于通过认定","可用"))))</f>
        <v/>
      </c>
      <c r="S39" s="50" t="str"/>
    </row>
    <row r="40">
      <c r="A40" s="49" t="inlineStr">
        <is>
          <t>IP36</t>
        </is>
      </c>
      <c r="B40" s="50" t="str"/>
      <c r="C40" s="50" t="str"/>
      <c r="D40" s="50" t="str"/>
      <c r="E40" s="50" t="str"/>
      <c r="F40" s="50" t="str"/>
      <c r="G40" s="70" t="n"/>
      <c r="H40" s="50" t="str"/>
      <c r="I40" s="50" t="str"/>
      <c r="J40" s="50" t="str"/>
      <c r="K40" s="50" t="inlineStr">
        <is>
          <t>否</t>
        </is>
      </c>
      <c r="L40" s="50" t="inlineStr">
        <is>
          <t>否</t>
        </is>
      </c>
      <c r="M40" s="50" t="str"/>
      <c r="N40" s="50" t="str"/>
      <c r="O40" s="50" t="str"/>
      <c r="P40" s="50" t="str"/>
      <c r="Q40" s="50" t="str"/>
      <c r="R40" s="57">
        <f>IF(D40="","",IF(H40&lt;&gt;"有效","不可用：未有效",IF(I40&lt;&gt;"是","不可用：权属",IF(AND(B40="Ⅱ类",L40="是"),"不可用：已用于通过认定","可用"))))</f>
        <v/>
      </c>
      <c r="S40" s="50" t="str"/>
    </row>
    <row r="41">
      <c r="A41" s="49" t="inlineStr">
        <is>
          <t>IP37</t>
        </is>
      </c>
      <c r="B41" s="50" t="str"/>
      <c r="C41" s="50" t="str"/>
      <c r="D41" s="50" t="str"/>
      <c r="E41" s="50" t="str"/>
      <c r="F41" s="50" t="str"/>
      <c r="G41" s="70" t="n"/>
      <c r="H41" s="50" t="str"/>
      <c r="I41" s="50" t="str"/>
      <c r="J41" s="50" t="str"/>
      <c r="K41" s="50" t="inlineStr">
        <is>
          <t>否</t>
        </is>
      </c>
      <c r="L41" s="50" t="inlineStr">
        <is>
          <t>否</t>
        </is>
      </c>
      <c r="M41" s="50" t="str"/>
      <c r="N41" s="50" t="str"/>
      <c r="O41" s="50" t="str"/>
      <c r="P41" s="50" t="str"/>
      <c r="Q41" s="50" t="str"/>
      <c r="R41" s="57">
        <f>IF(D41="","",IF(H41&lt;&gt;"有效","不可用：未有效",IF(I41&lt;&gt;"是","不可用：权属",IF(AND(B41="Ⅱ类",L41="是"),"不可用：已用于通过认定","可用"))))</f>
        <v/>
      </c>
      <c r="S41" s="50" t="str"/>
    </row>
    <row r="42">
      <c r="A42" s="49" t="inlineStr">
        <is>
          <t>IP38</t>
        </is>
      </c>
      <c r="B42" s="50" t="str"/>
      <c r="C42" s="50" t="str"/>
      <c r="D42" s="50" t="str"/>
      <c r="E42" s="50" t="str"/>
      <c r="F42" s="50" t="str"/>
      <c r="G42" s="70" t="n"/>
      <c r="H42" s="50" t="str"/>
      <c r="I42" s="50" t="str"/>
      <c r="J42" s="50" t="str"/>
      <c r="K42" s="50" t="inlineStr">
        <is>
          <t>否</t>
        </is>
      </c>
      <c r="L42" s="50" t="inlineStr">
        <is>
          <t>否</t>
        </is>
      </c>
      <c r="M42" s="50" t="str"/>
      <c r="N42" s="50" t="str"/>
      <c r="O42" s="50" t="str"/>
      <c r="P42" s="50" t="str"/>
      <c r="Q42" s="50" t="str"/>
      <c r="R42" s="57">
        <f>IF(D42="","",IF(H42&lt;&gt;"有效","不可用：未有效",IF(I42&lt;&gt;"是","不可用：权属",IF(AND(B42="Ⅱ类",L42="是"),"不可用：已用于通过认定","可用"))))</f>
        <v/>
      </c>
      <c r="S42" s="50" t="str"/>
    </row>
    <row r="43">
      <c r="A43" s="49" t="inlineStr">
        <is>
          <t>IP39</t>
        </is>
      </c>
      <c r="B43" s="50" t="str"/>
      <c r="C43" s="50" t="str"/>
      <c r="D43" s="50" t="str"/>
      <c r="E43" s="50" t="str"/>
      <c r="F43" s="50" t="str"/>
      <c r="G43" s="70" t="n"/>
      <c r="H43" s="50" t="str"/>
      <c r="I43" s="50" t="str"/>
      <c r="J43" s="50" t="str"/>
      <c r="K43" s="50" t="inlineStr">
        <is>
          <t>否</t>
        </is>
      </c>
      <c r="L43" s="50" t="inlineStr">
        <is>
          <t>否</t>
        </is>
      </c>
      <c r="M43" s="50" t="str"/>
      <c r="N43" s="50" t="str"/>
      <c r="O43" s="50" t="str"/>
      <c r="P43" s="50" t="str"/>
      <c r="Q43" s="50" t="str"/>
      <c r="R43" s="57">
        <f>IF(D43="","",IF(H43&lt;&gt;"有效","不可用：未有效",IF(I43&lt;&gt;"是","不可用：权属",IF(AND(B43="Ⅱ类",L43="是"),"不可用：已用于通过认定","可用"))))</f>
        <v/>
      </c>
      <c r="S43" s="50" t="str"/>
    </row>
    <row r="44">
      <c r="A44" s="49" t="inlineStr">
        <is>
          <t>IP40</t>
        </is>
      </c>
      <c r="B44" s="50" t="str"/>
      <c r="C44" s="50" t="str"/>
      <c r="D44" s="50" t="str"/>
      <c r="E44" s="50" t="str"/>
      <c r="F44" s="50" t="str"/>
      <c r="G44" s="70" t="n"/>
      <c r="H44" s="50" t="str"/>
      <c r="I44" s="50" t="str"/>
      <c r="J44" s="50" t="str"/>
      <c r="K44" s="50" t="inlineStr">
        <is>
          <t>否</t>
        </is>
      </c>
      <c r="L44" s="50" t="inlineStr">
        <is>
          <t>否</t>
        </is>
      </c>
      <c r="M44" s="50" t="str"/>
      <c r="N44" s="50" t="str"/>
      <c r="O44" s="50" t="str"/>
      <c r="P44" s="50" t="str"/>
      <c r="Q44" s="50" t="str"/>
      <c r="R44" s="57">
        <f>IF(D44="","",IF(H44&lt;&gt;"有效","不可用：未有效",IF(I44&lt;&gt;"是","不可用：权属",IF(AND(B44="Ⅱ类",L44="是"),"不可用：已用于通过认定","可用"))))</f>
        <v/>
      </c>
      <c r="S44" s="50" t="str"/>
    </row>
    <row r="45">
      <c r="A45" s="49" t="inlineStr">
        <is>
          <t>IP41</t>
        </is>
      </c>
      <c r="B45" s="50" t="str"/>
      <c r="C45" s="50" t="str"/>
      <c r="D45" s="50" t="str"/>
      <c r="E45" s="50" t="str"/>
      <c r="F45" s="50" t="str"/>
      <c r="G45" s="70" t="n"/>
      <c r="H45" s="50" t="str"/>
      <c r="I45" s="50" t="str"/>
      <c r="J45" s="50" t="str"/>
      <c r="K45" s="50" t="inlineStr">
        <is>
          <t>否</t>
        </is>
      </c>
      <c r="L45" s="50" t="inlineStr">
        <is>
          <t>否</t>
        </is>
      </c>
      <c r="M45" s="50" t="str"/>
      <c r="N45" s="50" t="str"/>
      <c r="O45" s="50" t="str"/>
      <c r="P45" s="50" t="str"/>
      <c r="Q45" s="50" t="str"/>
      <c r="R45" s="57">
        <f>IF(D45="","",IF(H45&lt;&gt;"有效","不可用：未有效",IF(I45&lt;&gt;"是","不可用：权属",IF(AND(B45="Ⅱ类",L45="是"),"不可用：已用于通过认定","可用"))))</f>
        <v/>
      </c>
      <c r="S45" s="50" t="str"/>
    </row>
    <row r="46">
      <c r="A46" s="49" t="inlineStr">
        <is>
          <t>IP42</t>
        </is>
      </c>
      <c r="B46" s="50" t="str"/>
      <c r="C46" s="50" t="str"/>
      <c r="D46" s="50" t="str"/>
      <c r="E46" s="50" t="str"/>
      <c r="F46" s="50" t="str"/>
      <c r="G46" s="70" t="n"/>
      <c r="H46" s="50" t="str"/>
      <c r="I46" s="50" t="str"/>
      <c r="J46" s="50" t="str"/>
      <c r="K46" s="50" t="inlineStr">
        <is>
          <t>否</t>
        </is>
      </c>
      <c r="L46" s="50" t="inlineStr">
        <is>
          <t>否</t>
        </is>
      </c>
      <c r="M46" s="50" t="str"/>
      <c r="N46" s="50" t="str"/>
      <c r="O46" s="50" t="str"/>
      <c r="P46" s="50" t="str"/>
      <c r="Q46" s="50" t="str"/>
      <c r="R46" s="57">
        <f>IF(D46="","",IF(H46&lt;&gt;"有效","不可用：未有效",IF(I46&lt;&gt;"是","不可用：权属",IF(AND(B46="Ⅱ类",L46="是"),"不可用：已用于通过认定","可用"))))</f>
        <v/>
      </c>
      <c r="S46" s="50" t="str"/>
    </row>
    <row r="47">
      <c r="A47" s="49" t="inlineStr">
        <is>
          <t>IP43</t>
        </is>
      </c>
      <c r="B47" s="50" t="str"/>
      <c r="C47" s="50" t="str"/>
      <c r="D47" s="50" t="str"/>
      <c r="E47" s="50" t="str"/>
      <c r="F47" s="50" t="str"/>
      <c r="G47" s="70" t="n"/>
      <c r="H47" s="50" t="str"/>
      <c r="I47" s="50" t="str"/>
      <c r="J47" s="50" t="str"/>
      <c r="K47" s="50" t="inlineStr">
        <is>
          <t>否</t>
        </is>
      </c>
      <c r="L47" s="50" t="inlineStr">
        <is>
          <t>否</t>
        </is>
      </c>
      <c r="M47" s="50" t="str"/>
      <c r="N47" s="50" t="str"/>
      <c r="O47" s="50" t="str"/>
      <c r="P47" s="50" t="str"/>
      <c r="Q47" s="50" t="str"/>
      <c r="R47" s="57">
        <f>IF(D47="","",IF(H47&lt;&gt;"有效","不可用：未有效",IF(I47&lt;&gt;"是","不可用：权属",IF(AND(B47="Ⅱ类",L47="是"),"不可用：已用于通过认定","可用"))))</f>
        <v/>
      </c>
      <c r="S47" s="50" t="str"/>
    </row>
    <row r="48">
      <c r="A48" s="49" t="inlineStr">
        <is>
          <t>IP44</t>
        </is>
      </c>
      <c r="B48" s="50" t="str"/>
      <c r="C48" s="50" t="str"/>
      <c r="D48" s="50" t="str"/>
      <c r="E48" s="50" t="str"/>
      <c r="F48" s="50" t="str"/>
      <c r="G48" s="70" t="n"/>
      <c r="H48" s="50" t="str"/>
      <c r="I48" s="50" t="str"/>
      <c r="J48" s="50" t="str"/>
      <c r="K48" s="50" t="inlineStr">
        <is>
          <t>否</t>
        </is>
      </c>
      <c r="L48" s="50" t="inlineStr">
        <is>
          <t>否</t>
        </is>
      </c>
      <c r="M48" s="50" t="str"/>
      <c r="N48" s="50" t="str"/>
      <c r="O48" s="50" t="str"/>
      <c r="P48" s="50" t="str"/>
      <c r="Q48" s="50" t="str"/>
      <c r="R48" s="57">
        <f>IF(D48="","",IF(H48&lt;&gt;"有效","不可用：未有效",IF(I48&lt;&gt;"是","不可用：权属",IF(AND(B48="Ⅱ类",L48="是"),"不可用：已用于通过认定","可用"))))</f>
        <v/>
      </c>
      <c r="S48" s="50" t="str"/>
    </row>
    <row r="49">
      <c r="A49" s="49" t="inlineStr">
        <is>
          <t>IP45</t>
        </is>
      </c>
      <c r="B49" s="50" t="str"/>
      <c r="C49" s="50" t="str"/>
      <c r="D49" s="50" t="str"/>
      <c r="E49" s="50" t="str"/>
      <c r="F49" s="50" t="str"/>
      <c r="G49" s="70" t="n"/>
      <c r="H49" s="50" t="str"/>
      <c r="I49" s="50" t="str"/>
      <c r="J49" s="50" t="str"/>
      <c r="K49" s="50" t="inlineStr">
        <is>
          <t>否</t>
        </is>
      </c>
      <c r="L49" s="50" t="inlineStr">
        <is>
          <t>否</t>
        </is>
      </c>
      <c r="M49" s="50" t="str"/>
      <c r="N49" s="50" t="str"/>
      <c r="O49" s="50" t="str"/>
      <c r="P49" s="50" t="str"/>
      <c r="Q49" s="50" t="str"/>
      <c r="R49" s="57">
        <f>IF(D49="","",IF(H49&lt;&gt;"有效","不可用：未有效",IF(I49&lt;&gt;"是","不可用：权属",IF(AND(B49="Ⅱ类",L49="是"),"不可用：已用于通过认定","可用"))))</f>
        <v/>
      </c>
      <c r="S49" s="50" t="str"/>
    </row>
    <row r="50">
      <c r="A50" s="49" t="inlineStr">
        <is>
          <t>IP46</t>
        </is>
      </c>
      <c r="B50" s="50" t="str"/>
      <c r="C50" s="50" t="str"/>
      <c r="D50" s="50" t="str"/>
      <c r="E50" s="50" t="str"/>
      <c r="F50" s="50" t="str"/>
      <c r="G50" s="70" t="n"/>
      <c r="H50" s="50" t="str"/>
      <c r="I50" s="50" t="str"/>
      <c r="J50" s="50" t="str"/>
      <c r="K50" s="50" t="inlineStr">
        <is>
          <t>否</t>
        </is>
      </c>
      <c r="L50" s="50" t="inlineStr">
        <is>
          <t>否</t>
        </is>
      </c>
      <c r="M50" s="50" t="str"/>
      <c r="N50" s="50" t="str"/>
      <c r="O50" s="50" t="str"/>
      <c r="P50" s="50" t="str"/>
      <c r="Q50" s="50" t="str"/>
      <c r="R50" s="57">
        <f>IF(D50="","",IF(H50&lt;&gt;"有效","不可用：未有效",IF(I50&lt;&gt;"是","不可用：权属",IF(AND(B50="Ⅱ类",L50="是"),"不可用：已用于通过认定","可用"))))</f>
        <v/>
      </c>
      <c r="S50" s="50" t="str"/>
    </row>
    <row r="51">
      <c r="A51" s="49" t="inlineStr">
        <is>
          <t>IP47</t>
        </is>
      </c>
      <c r="B51" s="50" t="str"/>
      <c r="C51" s="50" t="str"/>
      <c r="D51" s="50" t="str"/>
      <c r="E51" s="50" t="str"/>
      <c r="F51" s="50" t="str"/>
      <c r="G51" s="70" t="n"/>
      <c r="H51" s="50" t="str"/>
      <c r="I51" s="50" t="str"/>
      <c r="J51" s="50" t="str"/>
      <c r="K51" s="50" t="inlineStr">
        <is>
          <t>否</t>
        </is>
      </c>
      <c r="L51" s="50" t="inlineStr">
        <is>
          <t>否</t>
        </is>
      </c>
      <c r="M51" s="50" t="str"/>
      <c r="N51" s="50" t="str"/>
      <c r="O51" s="50" t="str"/>
      <c r="P51" s="50" t="str"/>
      <c r="Q51" s="50" t="str"/>
      <c r="R51" s="57">
        <f>IF(D51="","",IF(H51&lt;&gt;"有效","不可用：未有效",IF(I51&lt;&gt;"是","不可用：权属",IF(AND(B51="Ⅱ类",L51="是"),"不可用：已用于通过认定","可用"))))</f>
        <v/>
      </c>
      <c r="S51" s="50" t="str"/>
    </row>
    <row r="52">
      <c r="A52" s="49" t="inlineStr">
        <is>
          <t>IP48</t>
        </is>
      </c>
      <c r="B52" s="50" t="str"/>
      <c r="C52" s="50" t="str"/>
      <c r="D52" s="50" t="str"/>
      <c r="E52" s="50" t="str"/>
      <c r="F52" s="50" t="str"/>
      <c r="G52" s="70" t="n"/>
      <c r="H52" s="50" t="str"/>
      <c r="I52" s="50" t="str"/>
      <c r="J52" s="50" t="str"/>
      <c r="K52" s="50" t="inlineStr">
        <is>
          <t>否</t>
        </is>
      </c>
      <c r="L52" s="50" t="inlineStr">
        <is>
          <t>否</t>
        </is>
      </c>
      <c r="M52" s="50" t="str"/>
      <c r="N52" s="50" t="str"/>
      <c r="O52" s="50" t="str"/>
      <c r="P52" s="50" t="str"/>
      <c r="Q52" s="50" t="str"/>
      <c r="R52" s="57">
        <f>IF(D52="","",IF(H52&lt;&gt;"有效","不可用：未有效",IF(I52&lt;&gt;"是","不可用：权属",IF(AND(B52="Ⅱ类",L52="是"),"不可用：已用于通过认定","可用"))))</f>
        <v/>
      </c>
      <c r="S52" s="50" t="str"/>
    </row>
    <row r="53">
      <c r="A53" s="49" t="inlineStr">
        <is>
          <t>IP49</t>
        </is>
      </c>
      <c r="B53" s="50" t="str"/>
      <c r="C53" s="50" t="str"/>
      <c r="D53" s="50" t="str"/>
      <c r="E53" s="50" t="str"/>
      <c r="F53" s="50" t="str"/>
      <c r="G53" s="70" t="n"/>
      <c r="H53" s="50" t="str"/>
      <c r="I53" s="50" t="str"/>
      <c r="J53" s="50" t="str"/>
      <c r="K53" s="50" t="inlineStr">
        <is>
          <t>否</t>
        </is>
      </c>
      <c r="L53" s="50" t="inlineStr">
        <is>
          <t>否</t>
        </is>
      </c>
      <c r="M53" s="50" t="str"/>
      <c r="N53" s="50" t="str"/>
      <c r="O53" s="50" t="str"/>
      <c r="P53" s="50" t="str"/>
      <c r="Q53" s="50" t="str"/>
      <c r="R53" s="57">
        <f>IF(D53="","",IF(H53&lt;&gt;"有效","不可用：未有效",IF(I53&lt;&gt;"是","不可用：权属",IF(AND(B53="Ⅱ类",L53="是"),"不可用：已用于通过认定","可用"))))</f>
        <v/>
      </c>
      <c r="S53" s="50" t="str"/>
    </row>
    <row r="54">
      <c r="A54" s="49" t="inlineStr">
        <is>
          <t>IP50</t>
        </is>
      </c>
      <c r="B54" s="50" t="str"/>
      <c r="C54" s="50" t="str"/>
      <c r="D54" s="50" t="str"/>
      <c r="E54" s="50" t="str"/>
      <c r="F54" s="50" t="str"/>
      <c r="G54" s="70" t="n"/>
      <c r="H54" s="50" t="str"/>
      <c r="I54" s="50" t="str"/>
      <c r="J54" s="50" t="str"/>
      <c r="K54" s="50" t="inlineStr">
        <is>
          <t>否</t>
        </is>
      </c>
      <c r="L54" s="50" t="inlineStr">
        <is>
          <t>否</t>
        </is>
      </c>
      <c r="M54" s="50" t="str"/>
      <c r="N54" s="50" t="str"/>
      <c r="O54" s="50" t="str"/>
      <c r="P54" s="50" t="str"/>
      <c r="Q54" s="50" t="str"/>
      <c r="R54" s="57">
        <f>IF(D54="","",IF(H54&lt;&gt;"有效","不可用：未有效",IF(I54&lt;&gt;"是","不可用：权属",IF(AND(B54="Ⅱ类",L54="是"),"不可用：已用于通过认定","可用"))))</f>
        <v/>
      </c>
      <c r="S54" s="50" t="str"/>
    </row>
    <row r="55">
      <c r="A55" s="49" t="inlineStr">
        <is>
          <t>IP51</t>
        </is>
      </c>
      <c r="B55" s="50" t="str"/>
      <c r="C55" s="50" t="str"/>
      <c r="D55" s="50" t="str"/>
      <c r="E55" s="50" t="str"/>
      <c r="F55" s="50" t="str"/>
      <c r="G55" s="70" t="n"/>
      <c r="H55" s="50" t="str"/>
      <c r="I55" s="50" t="str"/>
      <c r="J55" s="50" t="str"/>
      <c r="K55" s="50" t="inlineStr">
        <is>
          <t>否</t>
        </is>
      </c>
      <c r="L55" s="50" t="inlineStr">
        <is>
          <t>否</t>
        </is>
      </c>
      <c r="M55" s="50" t="str"/>
      <c r="N55" s="50" t="str"/>
      <c r="O55" s="50" t="str"/>
      <c r="P55" s="50" t="str"/>
      <c r="Q55" s="50" t="str"/>
      <c r="R55" s="57">
        <f>IF(D55="","",IF(H55&lt;&gt;"有效","不可用：未有效",IF(I55&lt;&gt;"是","不可用：权属",IF(AND(B55="Ⅱ类",L55="是"),"不可用：已用于通过认定","可用"))))</f>
        <v/>
      </c>
      <c r="S55" s="50" t="str"/>
    </row>
    <row r="56">
      <c r="A56" s="49" t="inlineStr">
        <is>
          <t>IP52</t>
        </is>
      </c>
      <c r="B56" s="50" t="str"/>
      <c r="C56" s="50" t="str"/>
      <c r="D56" s="50" t="str"/>
      <c r="E56" s="50" t="str"/>
      <c r="F56" s="50" t="str"/>
      <c r="G56" s="70" t="n"/>
      <c r="H56" s="50" t="str"/>
      <c r="I56" s="50" t="str"/>
      <c r="J56" s="50" t="str"/>
      <c r="K56" s="50" t="inlineStr">
        <is>
          <t>否</t>
        </is>
      </c>
      <c r="L56" s="50" t="inlineStr">
        <is>
          <t>否</t>
        </is>
      </c>
      <c r="M56" s="50" t="str"/>
      <c r="N56" s="50" t="str"/>
      <c r="O56" s="50" t="str"/>
      <c r="P56" s="50" t="str"/>
      <c r="Q56" s="50" t="str"/>
      <c r="R56" s="57">
        <f>IF(D56="","",IF(H56&lt;&gt;"有效","不可用：未有效",IF(I56&lt;&gt;"是","不可用：权属",IF(AND(B56="Ⅱ类",L56="是"),"不可用：已用于通过认定","可用"))))</f>
        <v/>
      </c>
      <c r="S56" s="50" t="str"/>
    </row>
    <row r="57">
      <c r="A57" s="49" t="inlineStr">
        <is>
          <t>IP53</t>
        </is>
      </c>
      <c r="B57" s="50" t="str"/>
      <c r="C57" s="50" t="str"/>
      <c r="D57" s="50" t="str"/>
      <c r="E57" s="50" t="str"/>
      <c r="F57" s="50" t="str"/>
      <c r="G57" s="70" t="n"/>
      <c r="H57" s="50" t="str"/>
      <c r="I57" s="50" t="str"/>
      <c r="J57" s="50" t="str"/>
      <c r="K57" s="50" t="inlineStr">
        <is>
          <t>否</t>
        </is>
      </c>
      <c r="L57" s="50" t="inlineStr">
        <is>
          <t>否</t>
        </is>
      </c>
      <c r="M57" s="50" t="str"/>
      <c r="N57" s="50" t="str"/>
      <c r="O57" s="50" t="str"/>
      <c r="P57" s="50" t="str"/>
      <c r="Q57" s="50" t="str"/>
      <c r="R57" s="57">
        <f>IF(D57="","",IF(H57&lt;&gt;"有效","不可用：未有效",IF(I57&lt;&gt;"是","不可用：权属",IF(AND(B57="Ⅱ类",L57="是"),"不可用：已用于通过认定","可用"))))</f>
        <v/>
      </c>
      <c r="S57" s="50" t="str"/>
    </row>
    <row r="58">
      <c r="A58" s="49" t="inlineStr">
        <is>
          <t>IP54</t>
        </is>
      </c>
      <c r="B58" s="50" t="str"/>
      <c r="C58" s="50" t="str"/>
      <c r="D58" s="50" t="str"/>
      <c r="E58" s="50" t="str"/>
      <c r="F58" s="50" t="str"/>
      <c r="G58" s="70" t="n"/>
      <c r="H58" s="50" t="str"/>
      <c r="I58" s="50" t="str"/>
      <c r="J58" s="50" t="str"/>
      <c r="K58" s="50" t="inlineStr">
        <is>
          <t>否</t>
        </is>
      </c>
      <c r="L58" s="50" t="inlineStr">
        <is>
          <t>否</t>
        </is>
      </c>
      <c r="M58" s="50" t="str"/>
      <c r="N58" s="50" t="str"/>
      <c r="O58" s="50" t="str"/>
      <c r="P58" s="50" t="str"/>
      <c r="Q58" s="50" t="str"/>
      <c r="R58" s="57">
        <f>IF(D58="","",IF(H58&lt;&gt;"有效","不可用：未有效",IF(I58&lt;&gt;"是","不可用：权属",IF(AND(B58="Ⅱ类",L58="是"),"不可用：已用于通过认定","可用"))))</f>
        <v/>
      </c>
      <c r="S58" s="50" t="str"/>
    </row>
    <row r="59">
      <c r="A59" s="49" t="inlineStr">
        <is>
          <t>IP55</t>
        </is>
      </c>
      <c r="B59" s="50" t="str"/>
      <c r="C59" s="50" t="str"/>
      <c r="D59" s="50" t="str"/>
      <c r="E59" s="50" t="str"/>
      <c r="F59" s="50" t="str"/>
      <c r="G59" s="70" t="n"/>
      <c r="H59" s="50" t="str"/>
      <c r="I59" s="50" t="str"/>
      <c r="J59" s="50" t="str"/>
      <c r="K59" s="50" t="inlineStr">
        <is>
          <t>否</t>
        </is>
      </c>
      <c r="L59" s="50" t="inlineStr">
        <is>
          <t>否</t>
        </is>
      </c>
      <c r="M59" s="50" t="str"/>
      <c r="N59" s="50" t="str"/>
      <c r="O59" s="50" t="str"/>
      <c r="P59" s="50" t="str"/>
      <c r="Q59" s="50" t="str"/>
      <c r="R59" s="57">
        <f>IF(D59="","",IF(H59&lt;&gt;"有效","不可用：未有效",IF(I59&lt;&gt;"是","不可用：权属",IF(AND(B59="Ⅱ类",L59="是"),"不可用：已用于通过认定","可用"))))</f>
        <v/>
      </c>
      <c r="S59" s="50" t="str"/>
    </row>
    <row r="60">
      <c r="A60" s="49" t="inlineStr">
        <is>
          <t>IP56</t>
        </is>
      </c>
      <c r="B60" s="50" t="str"/>
      <c r="C60" s="50" t="str"/>
      <c r="D60" s="50" t="str"/>
      <c r="E60" s="50" t="str"/>
      <c r="F60" s="50" t="str"/>
      <c r="G60" s="70" t="n"/>
      <c r="H60" s="50" t="str"/>
      <c r="I60" s="50" t="str"/>
      <c r="J60" s="50" t="str"/>
      <c r="K60" s="50" t="inlineStr">
        <is>
          <t>否</t>
        </is>
      </c>
      <c r="L60" s="50" t="inlineStr">
        <is>
          <t>否</t>
        </is>
      </c>
      <c r="M60" s="50" t="str"/>
      <c r="N60" s="50" t="str"/>
      <c r="O60" s="50" t="str"/>
      <c r="P60" s="50" t="str"/>
      <c r="Q60" s="50" t="str"/>
      <c r="R60" s="57">
        <f>IF(D60="","",IF(H60&lt;&gt;"有效","不可用：未有效",IF(I60&lt;&gt;"是","不可用：权属",IF(AND(B60="Ⅱ类",L60="是"),"不可用：已用于通过认定","可用"))))</f>
        <v/>
      </c>
      <c r="S60" s="50" t="str"/>
    </row>
    <row r="61">
      <c r="A61" s="49" t="inlineStr">
        <is>
          <t>IP57</t>
        </is>
      </c>
      <c r="B61" s="50" t="str"/>
      <c r="C61" s="50" t="str"/>
      <c r="D61" s="50" t="str"/>
      <c r="E61" s="50" t="str"/>
      <c r="F61" s="50" t="str"/>
      <c r="G61" s="70" t="n"/>
      <c r="H61" s="50" t="str"/>
      <c r="I61" s="50" t="str"/>
      <c r="J61" s="50" t="str"/>
      <c r="K61" s="50" t="inlineStr">
        <is>
          <t>否</t>
        </is>
      </c>
      <c r="L61" s="50" t="inlineStr">
        <is>
          <t>否</t>
        </is>
      </c>
      <c r="M61" s="50" t="str"/>
      <c r="N61" s="50" t="str"/>
      <c r="O61" s="50" t="str"/>
      <c r="P61" s="50" t="str"/>
      <c r="Q61" s="50" t="str"/>
      <c r="R61" s="57">
        <f>IF(D61="","",IF(H61&lt;&gt;"有效","不可用：未有效",IF(I61&lt;&gt;"是","不可用：权属",IF(AND(B61="Ⅱ类",L61="是"),"不可用：已用于通过认定","可用"))))</f>
        <v/>
      </c>
      <c r="S61" s="50" t="str"/>
    </row>
    <row r="62">
      <c r="A62" s="49" t="inlineStr">
        <is>
          <t>IP58</t>
        </is>
      </c>
      <c r="B62" s="50" t="str"/>
      <c r="C62" s="50" t="str"/>
      <c r="D62" s="50" t="str"/>
      <c r="E62" s="50" t="str"/>
      <c r="F62" s="50" t="str"/>
      <c r="G62" s="70" t="n"/>
      <c r="H62" s="50" t="str"/>
      <c r="I62" s="50" t="str"/>
      <c r="J62" s="50" t="str"/>
      <c r="K62" s="50" t="inlineStr">
        <is>
          <t>否</t>
        </is>
      </c>
      <c r="L62" s="50" t="inlineStr">
        <is>
          <t>否</t>
        </is>
      </c>
      <c r="M62" s="50" t="str"/>
      <c r="N62" s="50" t="str"/>
      <c r="O62" s="50" t="str"/>
      <c r="P62" s="50" t="str"/>
      <c r="Q62" s="50" t="str"/>
      <c r="R62" s="57">
        <f>IF(D62="","",IF(H62&lt;&gt;"有效","不可用：未有效",IF(I62&lt;&gt;"是","不可用：权属",IF(AND(B62="Ⅱ类",L62="是"),"不可用：已用于通过认定","可用"))))</f>
        <v/>
      </c>
      <c r="S62" s="50" t="str"/>
    </row>
    <row r="63">
      <c r="A63" s="49" t="inlineStr">
        <is>
          <t>IP59</t>
        </is>
      </c>
      <c r="B63" s="50" t="str"/>
      <c r="C63" s="50" t="str"/>
      <c r="D63" s="50" t="str"/>
      <c r="E63" s="50" t="str"/>
      <c r="F63" s="50" t="str"/>
      <c r="G63" s="70" t="n"/>
      <c r="H63" s="50" t="str"/>
      <c r="I63" s="50" t="str"/>
      <c r="J63" s="50" t="str"/>
      <c r="K63" s="50" t="inlineStr">
        <is>
          <t>否</t>
        </is>
      </c>
      <c r="L63" s="50" t="inlineStr">
        <is>
          <t>否</t>
        </is>
      </c>
      <c r="M63" s="50" t="str"/>
      <c r="N63" s="50" t="str"/>
      <c r="O63" s="50" t="str"/>
      <c r="P63" s="50" t="str"/>
      <c r="Q63" s="50" t="str"/>
      <c r="R63" s="57">
        <f>IF(D63="","",IF(H63&lt;&gt;"有效","不可用：未有效",IF(I63&lt;&gt;"是","不可用：权属",IF(AND(B63="Ⅱ类",L63="是"),"不可用：已用于通过认定","可用"))))</f>
        <v/>
      </c>
      <c r="S63" s="50" t="str"/>
    </row>
    <row r="64">
      <c r="A64" s="49" t="inlineStr">
        <is>
          <t>IP60</t>
        </is>
      </c>
      <c r="B64" s="50" t="str"/>
      <c r="C64" s="50" t="str"/>
      <c r="D64" s="50" t="str"/>
      <c r="E64" s="50" t="str"/>
      <c r="F64" s="50" t="str"/>
      <c r="G64" s="70" t="n"/>
      <c r="H64" s="50" t="str"/>
      <c r="I64" s="50" t="str"/>
      <c r="J64" s="50" t="str"/>
      <c r="K64" s="50" t="inlineStr">
        <is>
          <t>否</t>
        </is>
      </c>
      <c r="L64" s="50" t="inlineStr">
        <is>
          <t>否</t>
        </is>
      </c>
      <c r="M64" s="50" t="str"/>
      <c r="N64" s="50" t="str"/>
      <c r="O64" s="50" t="str"/>
      <c r="P64" s="50" t="str"/>
      <c r="Q64" s="50" t="str"/>
      <c r="R64" s="57">
        <f>IF(D64="","",IF(H64&lt;&gt;"有效","不可用：未有效",IF(I64&lt;&gt;"是","不可用：权属",IF(AND(B64="Ⅱ类",L64="是"),"不可用：已用于通过认定","可用"))))</f>
        <v/>
      </c>
      <c r="S64" s="50" t="str"/>
    </row>
    <row r="65">
      <c r="A65" s="49" t="inlineStr">
        <is>
          <t>IP61</t>
        </is>
      </c>
      <c r="B65" s="50" t="str"/>
      <c r="C65" s="50" t="str"/>
      <c r="D65" s="50" t="str"/>
      <c r="E65" s="50" t="str"/>
      <c r="F65" s="50" t="str"/>
      <c r="G65" s="70" t="n"/>
      <c r="H65" s="50" t="str"/>
      <c r="I65" s="50" t="str"/>
      <c r="J65" s="50" t="str"/>
      <c r="K65" s="50" t="inlineStr">
        <is>
          <t>否</t>
        </is>
      </c>
      <c r="L65" s="50" t="inlineStr">
        <is>
          <t>否</t>
        </is>
      </c>
      <c r="M65" s="50" t="str"/>
      <c r="N65" s="50" t="str"/>
      <c r="O65" s="50" t="str"/>
      <c r="P65" s="50" t="str"/>
      <c r="Q65" s="50" t="str"/>
      <c r="R65" s="57">
        <f>IF(D65="","",IF(H65&lt;&gt;"有效","不可用：未有效",IF(I65&lt;&gt;"是","不可用：权属",IF(AND(B65="Ⅱ类",L65="是"),"不可用：已用于通过认定","可用"))))</f>
        <v/>
      </c>
      <c r="S65" s="50" t="str"/>
    </row>
    <row r="66">
      <c r="A66" s="49" t="inlineStr">
        <is>
          <t>IP62</t>
        </is>
      </c>
      <c r="B66" s="50" t="str"/>
      <c r="C66" s="50" t="str"/>
      <c r="D66" s="50" t="str"/>
      <c r="E66" s="50" t="str"/>
      <c r="F66" s="50" t="str"/>
      <c r="G66" s="70" t="n"/>
      <c r="H66" s="50" t="str"/>
      <c r="I66" s="50" t="str"/>
      <c r="J66" s="50" t="str"/>
      <c r="K66" s="50" t="inlineStr">
        <is>
          <t>否</t>
        </is>
      </c>
      <c r="L66" s="50" t="inlineStr">
        <is>
          <t>否</t>
        </is>
      </c>
      <c r="M66" s="50" t="str"/>
      <c r="N66" s="50" t="str"/>
      <c r="O66" s="50" t="str"/>
      <c r="P66" s="50" t="str"/>
      <c r="Q66" s="50" t="str"/>
      <c r="R66" s="57">
        <f>IF(D66="","",IF(H66&lt;&gt;"有效","不可用：未有效",IF(I66&lt;&gt;"是","不可用：权属",IF(AND(B66="Ⅱ类",L66="是"),"不可用：已用于通过认定","可用"))))</f>
        <v/>
      </c>
      <c r="S66" s="50" t="str"/>
    </row>
    <row r="67">
      <c r="A67" s="49" t="inlineStr">
        <is>
          <t>IP63</t>
        </is>
      </c>
      <c r="B67" s="50" t="str"/>
      <c r="C67" s="50" t="str"/>
      <c r="D67" s="50" t="str"/>
      <c r="E67" s="50" t="str"/>
      <c r="F67" s="50" t="str"/>
      <c r="G67" s="70" t="n"/>
      <c r="H67" s="50" t="str"/>
      <c r="I67" s="50" t="str"/>
      <c r="J67" s="50" t="str"/>
      <c r="K67" s="50" t="inlineStr">
        <is>
          <t>否</t>
        </is>
      </c>
      <c r="L67" s="50" t="inlineStr">
        <is>
          <t>否</t>
        </is>
      </c>
      <c r="M67" s="50" t="str"/>
      <c r="N67" s="50" t="str"/>
      <c r="O67" s="50" t="str"/>
      <c r="P67" s="50" t="str"/>
      <c r="Q67" s="50" t="str"/>
      <c r="R67" s="57">
        <f>IF(D67="","",IF(H67&lt;&gt;"有效","不可用：未有效",IF(I67&lt;&gt;"是","不可用：权属",IF(AND(B67="Ⅱ类",L67="是"),"不可用：已用于通过认定","可用"))))</f>
        <v/>
      </c>
      <c r="S67" s="50" t="str"/>
    </row>
    <row r="68">
      <c r="A68" s="49" t="inlineStr">
        <is>
          <t>IP64</t>
        </is>
      </c>
      <c r="B68" s="50" t="str"/>
      <c r="C68" s="50" t="str"/>
      <c r="D68" s="50" t="str"/>
      <c r="E68" s="50" t="str"/>
      <c r="F68" s="50" t="str"/>
      <c r="G68" s="70" t="n"/>
      <c r="H68" s="50" t="str"/>
      <c r="I68" s="50" t="str"/>
      <c r="J68" s="50" t="str"/>
      <c r="K68" s="50" t="inlineStr">
        <is>
          <t>否</t>
        </is>
      </c>
      <c r="L68" s="50" t="inlineStr">
        <is>
          <t>否</t>
        </is>
      </c>
      <c r="M68" s="50" t="str"/>
      <c r="N68" s="50" t="str"/>
      <c r="O68" s="50" t="str"/>
      <c r="P68" s="50" t="str"/>
      <c r="Q68" s="50" t="str"/>
      <c r="R68" s="57">
        <f>IF(D68="","",IF(H68&lt;&gt;"有效","不可用：未有效",IF(I68&lt;&gt;"是","不可用：权属",IF(AND(B68="Ⅱ类",L68="是"),"不可用：已用于通过认定","可用"))))</f>
        <v/>
      </c>
      <c r="S68" s="50" t="str"/>
    </row>
    <row r="69">
      <c r="A69" s="49" t="inlineStr">
        <is>
          <t>IP65</t>
        </is>
      </c>
      <c r="B69" s="50" t="str"/>
      <c r="C69" s="50" t="str"/>
      <c r="D69" s="50" t="str"/>
      <c r="E69" s="50" t="str"/>
      <c r="F69" s="50" t="str"/>
      <c r="G69" s="70" t="n"/>
      <c r="H69" s="50" t="str"/>
      <c r="I69" s="50" t="str"/>
      <c r="J69" s="50" t="str"/>
      <c r="K69" s="50" t="inlineStr">
        <is>
          <t>否</t>
        </is>
      </c>
      <c r="L69" s="50" t="inlineStr">
        <is>
          <t>否</t>
        </is>
      </c>
      <c r="M69" s="50" t="str"/>
      <c r="N69" s="50" t="str"/>
      <c r="O69" s="50" t="str"/>
      <c r="P69" s="50" t="str"/>
      <c r="Q69" s="50" t="str"/>
      <c r="R69" s="57">
        <f>IF(D69="","",IF(H69&lt;&gt;"有效","不可用：未有效",IF(I69&lt;&gt;"是","不可用：权属",IF(AND(B69="Ⅱ类",L69="是"),"不可用：已用于通过认定","可用"))))</f>
        <v/>
      </c>
      <c r="S69" s="50" t="str"/>
    </row>
    <row r="70">
      <c r="A70" s="49" t="inlineStr">
        <is>
          <t>IP66</t>
        </is>
      </c>
      <c r="B70" s="50" t="str"/>
      <c r="C70" s="50" t="str"/>
      <c r="D70" s="50" t="str"/>
      <c r="E70" s="50" t="str"/>
      <c r="F70" s="50" t="str"/>
      <c r="G70" s="70" t="n"/>
      <c r="H70" s="50" t="str"/>
      <c r="I70" s="50" t="str"/>
      <c r="J70" s="50" t="str"/>
      <c r="K70" s="50" t="inlineStr">
        <is>
          <t>否</t>
        </is>
      </c>
      <c r="L70" s="50" t="inlineStr">
        <is>
          <t>否</t>
        </is>
      </c>
      <c r="M70" s="50" t="str"/>
      <c r="N70" s="50" t="str"/>
      <c r="O70" s="50" t="str"/>
      <c r="P70" s="50" t="str"/>
      <c r="Q70" s="50" t="str"/>
      <c r="R70" s="57">
        <f>IF(D70="","",IF(H70&lt;&gt;"有效","不可用：未有效",IF(I70&lt;&gt;"是","不可用：权属",IF(AND(B70="Ⅱ类",L70="是"),"不可用：已用于通过认定","可用"))))</f>
        <v/>
      </c>
      <c r="S70" s="50" t="str"/>
    </row>
    <row r="71">
      <c r="A71" s="49" t="inlineStr">
        <is>
          <t>IP67</t>
        </is>
      </c>
      <c r="B71" s="50" t="str"/>
      <c r="C71" s="50" t="str"/>
      <c r="D71" s="50" t="str"/>
      <c r="E71" s="50" t="str"/>
      <c r="F71" s="50" t="str"/>
      <c r="G71" s="70" t="n"/>
      <c r="H71" s="50" t="str"/>
      <c r="I71" s="50" t="str"/>
      <c r="J71" s="50" t="str"/>
      <c r="K71" s="50" t="inlineStr">
        <is>
          <t>否</t>
        </is>
      </c>
      <c r="L71" s="50" t="inlineStr">
        <is>
          <t>否</t>
        </is>
      </c>
      <c r="M71" s="50" t="str"/>
      <c r="N71" s="50" t="str"/>
      <c r="O71" s="50" t="str"/>
      <c r="P71" s="50" t="str"/>
      <c r="Q71" s="50" t="str"/>
      <c r="R71" s="57">
        <f>IF(D71="","",IF(H71&lt;&gt;"有效","不可用：未有效",IF(I71&lt;&gt;"是","不可用：权属",IF(AND(B71="Ⅱ类",L71="是"),"不可用：已用于通过认定","可用"))))</f>
        <v/>
      </c>
      <c r="S71" s="50" t="str"/>
    </row>
    <row r="72">
      <c r="A72" s="49" t="inlineStr">
        <is>
          <t>IP68</t>
        </is>
      </c>
      <c r="B72" s="50" t="str"/>
      <c r="C72" s="50" t="str"/>
      <c r="D72" s="50" t="str"/>
      <c r="E72" s="50" t="str"/>
      <c r="F72" s="50" t="str"/>
      <c r="G72" s="70" t="n"/>
      <c r="H72" s="50" t="str"/>
      <c r="I72" s="50" t="str"/>
      <c r="J72" s="50" t="str"/>
      <c r="K72" s="50" t="inlineStr">
        <is>
          <t>否</t>
        </is>
      </c>
      <c r="L72" s="50" t="inlineStr">
        <is>
          <t>否</t>
        </is>
      </c>
      <c r="M72" s="50" t="str"/>
      <c r="N72" s="50" t="str"/>
      <c r="O72" s="50" t="str"/>
      <c r="P72" s="50" t="str"/>
      <c r="Q72" s="50" t="str"/>
      <c r="R72" s="57">
        <f>IF(D72="","",IF(H72&lt;&gt;"有效","不可用：未有效",IF(I72&lt;&gt;"是","不可用：权属",IF(AND(B72="Ⅱ类",L72="是"),"不可用：已用于通过认定","可用"))))</f>
        <v/>
      </c>
      <c r="S72" s="50" t="str"/>
    </row>
    <row r="73">
      <c r="A73" s="49" t="inlineStr">
        <is>
          <t>IP69</t>
        </is>
      </c>
      <c r="B73" s="50" t="str"/>
      <c r="C73" s="50" t="str"/>
      <c r="D73" s="50" t="str"/>
      <c r="E73" s="50" t="str"/>
      <c r="F73" s="50" t="str"/>
      <c r="G73" s="70" t="n"/>
      <c r="H73" s="50" t="str"/>
      <c r="I73" s="50" t="str"/>
      <c r="J73" s="50" t="str"/>
      <c r="K73" s="50" t="inlineStr">
        <is>
          <t>否</t>
        </is>
      </c>
      <c r="L73" s="50" t="inlineStr">
        <is>
          <t>否</t>
        </is>
      </c>
      <c r="M73" s="50" t="str"/>
      <c r="N73" s="50" t="str"/>
      <c r="O73" s="50" t="str"/>
      <c r="P73" s="50" t="str"/>
      <c r="Q73" s="50" t="str"/>
      <c r="R73" s="57">
        <f>IF(D73="","",IF(H73&lt;&gt;"有效","不可用：未有效",IF(I73&lt;&gt;"是","不可用：权属",IF(AND(B73="Ⅱ类",L73="是"),"不可用：已用于通过认定","可用"))))</f>
        <v/>
      </c>
      <c r="S73" s="50" t="str"/>
    </row>
    <row r="74">
      <c r="A74" s="49" t="inlineStr">
        <is>
          <t>IP70</t>
        </is>
      </c>
      <c r="B74" s="50" t="str"/>
      <c r="C74" s="50" t="str"/>
      <c r="D74" s="50" t="str"/>
      <c r="E74" s="50" t="str"/>
      <c r="F74" s="50" t="str"/>
      <c r="G74" s="70" t="n"/>
      <c r="H74" s="50" t="str"/>
      <c r="I74" s="50" t="str"/>
      <c r="J74" s="50" t="str"/>
      <c r="K74" s="50" t="inlineStr">
        <is>
          <t>否</t>
        </is>
      </c>
      <c r="L74" s="50" t="inlineStr">
        <is>
          <t>否</t>
        </is>
      </c>
      <c r="M74" s="50" t="str"/>
      <c r="N74" s="50" t="str"/>
      <c r="O74" s="50" t="str"/>
      <c r="P74" s="50" t="str"/>
      <c r="Q74" s="50" t="str"/>
      <c r="R74" s="57">
        <f>IF(D74="","",IF(H74&lt;&gt;"有效","不可用：未有效",IF(I74&lt;&gt;"是","不可用：权属",IF(AND(B74="Ⅱ类",L74="是"),"不可用：已用于通过认定","可用"))))</f>
        <v/>
      </c>
      <c r="S74" s="50" t="str"/>
    </row>
    <row r="75">
      <c r="A75" s="49" t="inlineStr">
        <is>
          <t>IP71</t>
        </is>
      </c>
      <c r="B75" s="50" t="str"/>
      <c r="C75" s="50" t="str"/>
      <c r="D75" s="50" t="str"/>
      <c r="E75" s="50" t="str"/>
      <c r="F75" s="50" t="str"/>
      <c r="G75" s="70" t="n"/>
      <c r="H75" s="50" t="str"/>
      <c r="I75" s="50" t="str"/>
      <c r="J75" s="50" t="str"/>
      <c r="K75" s="50" t="inlineStr">
        <is>
          <t>否</t>
        </is>
      </c>
      <c r="L75" s="50" t="inlineStr">
        <is>
          <t>否</t>
        </is>
      </c>
      <c r="M75" s="50" t="str"/>
      <c r="N75" s="50" t="str"/>
      <c r="O75" s="50" t="str"/>
      <c r="P75" s="50" t="str"/>
      <c r="Q75" s="50" t="str"/>
      <c r="R75" s="57">
        <f>IF(D75="","",IF(H75&lt;&gt;"有效","不可用：未有效",IF(I75&lt;&gt;"是","不可用：权属",IF(AND(B75="Ⅱ类",L75="是"),"不可用：已用于通过认定","可用"))))</f>
        <v/>
      </c>
      <c r="S75" s="50" t="str"/>
    </row>
    <row r="76">
      <c r="A76" s="49" t="inlineStr">
        <is>
          <t>IP72</t>
        </is>
      </c>
      <c r="B76" s="50" t="str"/>
      <c r="C76" s="50" t="str"/>
      <c r="D76" s="50" t="str"/>
      <c r="E76" s="50" t="str"/>
      <c r="F76" s="50" t="str"/>
      <c r="G76" s="70" t="n"/>
      <c r="H76" s="50" t="str"/>
      <c r="I76" s="50" t="str"/>
      <c r="J76" s="50" t="str"/>
      <c r="K76" s="50" t="inlineStr">
        <is>
          <t>否</t>
        </is>
      </c>
      <c r="L76" s="50" t="inlineStr">
        <is>
          <t>否</t>
        </is>
      </c>
      <c r="M76" s="50" t="str"/>
      <c r="N76" s="50" t="str"/>
      <c r="O76" s="50" t="str"/>
      <c r="P76" s="50" t="str"/>
      <c r="Q76" s="50" t="str"/>
      <c r="R76" s="57">
        <f>IF(D76="","",IF(H76&lt;&gt;"有效","不可用：未有效",IF(I76&lt;&gt;"是","不可用：权属",IF(AND(B76="Ⅱ类",L76="是"),"不可用：已用于通过认定","可用"))))</f>
        <v/>
      </c>
      <c r="S76" s="50" t="str"/>
    </row>
    <row r="77">
      <c r="A77" s="49" t="inlineStr">
        <is>
          <t>IP73</t>
        </is>
      </c>
      <c r="B77" s="50" t="str"/>
      <c r="C77" s="50" t="str"/>
      <c r="D77" s="50" t="str"/>
      <c r="E77" s="50" t="str"/>
      <c r="F77" s="50" t="str"/>
      <c r="G77" s="70" t="n"/>
      <c r="H77" s="50" t="str"/>
      <c r="I77" s="50" t="str"/>
      <c r="J77" s="50" t="str"/>
      <c r="K77" s="50" t="inlineStr">
        <is>
          <t>否</t>
        </is>
      </c>
      <c r="L77" s="50" t="inlineStr">
        <is>
          <t>否</t>
        </is>
      </c>
      <c r="M77" s="50" t="str"/>
      <c r="N77" s="50" t="str"/>
      <c r="O77" s="50" t="str"/>
      <c r="P77" s="50" t="str"/>
      <c r="Q77" s="50" t="str"/>
      <c r="R77" s="57">
        <f>IF(D77="","",IF(H77&lt;&gt;"有效","不可用：未有效",IF(I77&lt;&gt;"是","不可用：权属",IF(AND(B77="Ⅱ类",L77="是"),"不可用：已用于通过认定","可用"))))</f>
        <v/>
      </c>
      <c r="S77" s="50" t="str"/>
    </row>
    <row r="78">
      <c r="A78" s="49" t="inlineStr">
        <is>
          <t>IP74</t>
        </is>
      </c>
      <c r="B78" s="50" t="str"/>
      <c r="C78" s="50" t="str"/>
      <c r="D78" s="50" t="str"/>
      <c r="E78" s="50" t="str"/>
      <c r="F78" s="50" t="str"/>
      <c r="G78" s="70" t="n"/>
      <c r="H78" s="50" t="str"/>
      <c r="I78" s="50" t="str"/>
      <c r="J78" s="50" t="str"/>
      <c r="K78" s="50" t="inlineStr">
        <is>
          <t>否</t>
        </is>
      </c>
      <c r="L78" s="50" t="inlineStr">
        <is>
          <t>否</t>
        </is>
      </c>
      <c r="M78" s="50" t="str"/>
      <c r="N78" s="50" t="str"/>
      <c r="O78" s="50" t="str"/>
      <c r="P78" s="50" t="str"/>
      <c r="Q78" s="50" t="str"/>
      <c r="R78" s="57">
        <f>IF(D78="","",IF(H78&lt;&gt;"有效","不可用：未有效",IF(I78&lt;&gt;"是","不可用：权属",IF(AND(B78="Ⅱ类",L78="是"),"不可用：已用于通过认定","可用"))))</f>
        <v/>
      </c>
      <c r="S78" s="50" t="str"/>
    </row>
    <row r="79">
      <c r="A79" s="49" t="inlineStr">
        <is>
          <t>IP75</t>
        </is>
      </c>
      <c r="B79" s="50" t="str"/>
      <c r="C79" s="50" t="str"/>
      <c r="D79" s="50" t="str"/>
      <c r="E79" s="50" t="str"/>
      <c r="F79" s="50" t="str"/>
      <c r="G79" s="70" t="n"/>
      <c r="H79" s="50" t="str"/>
      <c r="I79" s="50" t="str"/>
      <c r="J79" s="50" t="str"/>
      <c r="K79" s="50" t="inlineStr">
        <is>
          <t>否</t>
        </is>
      </c>
      <c r="L79" s="50" t="inlineStr">
        <is>
          <t>否</t>
        </is>
      </c>
      <c r="M79" s="50" t="str"/>
      <c r="N79" s="50" t="str"/>
      <c r="O79" s="50" t="str"/>
      <c r="P79" s="50" t="str"/>
      <c r="Q79" s="50" t="str"/>
      <c r="R79" s="57">
        <f>IF(D79="","",IF(H79&lt;&gt;"有效","不可用：未有效",IF(I79&lt;&gt;"是","不可用：权属",IF(AND(B79="Ⅱ类",L79="是"),"不可用：已用于通过认定","可用"))))</f>
        <v/>
      </c>
      <c r="S79" s="50" t="str"/>
    </row>
    <row r="80">
      <c r="A80" s="49" t="inlineStr">
        <is>
          <t>IP76</t>
        </is>
      </c>
      <c r="B80" s="50" t="str"/>
      <c r="C80" s="50" t="str"/>
      <c r="D80" s="50" t="str"/>
      <c r="E80" s="50" t="str"/>
      <c r="F80" s="50" t="str"/>
      <c r="G80" s="70" t="n"/>
      <c r="H80" s="50" t="str"/>
      <c r="I80" s="50" t="str"/>
      <c r="J80" s="50" t="str"/>
      <c r="K80" s="50" t="inlineStr">
        <is>
          <t>否</t>
        </is>
      </c>
      <c r="L80" s="50" t="inlineStr">
        <is>
          <t>否</t>
        </is>
      </c>
      <c r="M80" s="50" t="str"/>
      <c r="N80" s="50" t="str"/>
      <c r="O80" s="50" t="str"/>
      <c r="P80" s="50" t="str"/>
      <c r="Q80" s="50" t="str"/>
      <c r="R80" s="57">
        <f>IF(D80="","",IF(H80&lt;&gt;"有效","不可用：未有效",IF(I80&lt;&gt;"是","不可用：权属",IF(AND(B80="Ⅱ类",L80="是"),"不可用：已用于通过认定","可用"))))</f>
        <v/>
      </c>
      <c r="S80" s="50" t="str"/>
    </row>
    <row r="81">
      <c r="A81" s="49" t="inlineStr">
        <is>
          <t>IP77</t>
        </is>
      </c>
      <c r="B81" s="50" t="str"/>
      <c r="C81" s="50" t="str"/>
      <c r="D81" s="50" t="str"/>
      <c r="E81" s="50" t="str"/>
      <c r="F81" s="50" t="str"/>
      <c r="G81" s="70" t="n"/>
      <c r="H81" s="50" t="str"/>
      <c r="I81" s="50" t="str"/>
      <c r="J81" s="50" t="str"/>
      <c r="K81" s="50" t="inlineStr">
        <is>
          <t>否</t>
        </is>
      </c>
      <c r="L81" s="50" t="inlineStr">
        <is>
          <t>否</t>
        </is>
      </c>
      <c r="M81" s="50" t="str"/>
      <c r="N81" s="50" t="str"/>
      <c r="O81" s="50" t="str"/>
      <c r="P81" s="50" t="str"/>
      <c r="Q81" s="50" t="str"/>
      <c r="R81" s="57">
        <f>IF(D81="","",IF(H81&lt;&gt;"有效","不可用：未有效",IF(I81&lt;&gt;"是","不可用：权属",IF(AND(B81="Ⅱ类",L81="是"),"不可用：已用于通过认定","可用"))))</f>
        <v/>
      </c>
      <c r="S81" s="50" t="str"/>
    </row>
    <row r="82">
      <c r="A82" s="49" t="inlineStr">
        <is>
          <t>IP78</t>
        </is>
      </c>
      <c r="B82" s="50" t="str"/>
      <c r="C82" s="50" t="str"/>
      <c r="D82" s="50" t="str"/>
      <c r="E82" s="50" t="str"/>
      <c r="F82" s="50" t="str"/>
      <c r="G82" s="70" t="n"/>
      <c r="H82" s="50" t="str"/>
      <c r="I82" s="50" t="str"/>
      <c r="J82" s="50" t="str"/>
      <c r="K82" s="50" t="inlineStr">
        <is>
          <t>否</t>
        </is>
      </c>
      <c r="L82" s="50" t="inlineStr">
        <is>
          <t>否</t>
        </is>
      </c>
      <c r="M82" s="50" t="str"/>
      <c r="N82" s="50" t="str"/>
      <c r="O82" s="50" t="str"/>
      <c r="P82" s="50" t="str"/>
      <c r="Q82" s="50" t="str"/>
      <c r="R82" s="57">
        <f>IF(D82="","",IF(H82&lt;&gt;"有效","不可用：未有效",IF(I82&lt;&gt;"是","不可用：权属",IF(AND(B82="Ⅱ类",L82="是"),"不可用：已用于通过认定","可用"))))</f>
        <v/>
      </c>
      <c r="S82" s="50" t="str"/>
    </row>
    <row r="83">
      <c r="A83" s="49" t="inlineStr">
        <is>
          <t>IP79</t>
        </is>
      </c>
      <c r="B83" s="50" t="str"/>
      <c r="C83" s="50" t="str"/>
      <c r="D83" s="50" t="str"/>
      <c r="E83" s="50" t="str"/>
      <c r="F83" s="50" t="str"/>
      <c r="G83" s="70" t="n"/>
      <c r="H83" s="50" t="str"/>
      <c r="I83" s="50" t="str"/>
      <c r="J83" s="50" t="str"/>
      <c r="K83" s="50" t="inlineStr">
        <is>
          <t>否</t>
        </is>
      </c>
      <c r="L83" s="50" t="inlineStr">
        <is>
          <t>否</t>
        </is>
      </c>
      <c r="M83" s="50" t="str"/>
      <c r="N83" s="50" t="str"/>
      <c r="O83" s="50" t="str"/>
      <c r="P83" s="50" t="str"/>
      <c r="Q83" s="50" t="str"/>
      <c r="R83" s="57">
        <f>IF(D83="","",IF(H83&lt;&gt;"有效","不可用：未有效",IF(I83&lt;&gt;"是","不可用：权属",IF(AND(B83="Ⅱ类",L83="是"),"不可用：已用于通过认定","可用"))))</f>
        <v/>
      </c>
      <c r="S83" s="50" t="str"/>
    </row>
    <row r="84">
      <c r="A84" s="49" t="inlineStr">
        <is>
          <t>IP80</t>
        </is>
      </c>
      <c r="B84" s="50" t="str"/>
      <c r="C84" s="50" t="str"/>
      <c r="D84" s="50" t="str"/>
      <c r="E84" s="50" t="str"/>
      <c r="F84" s="50" t="str"/>
      <c r="G84" s="70" t="n"/>
      <c r="H84" s="50" t="str"/>
      <c r="I84" s="50" t="str"/>
      <c r="J84" s="50" t="str"/>
      <c r="K84" s="50" t="inlineStr">
        <is>
          <t>否</t>
        </is>
      </c>
      <c r="L84" s="50" t="inlineStr">
        <is>
          <t>否</t>
        </is>
      </c>
      <c r="M84" s="50" t="str"/>
      <c r="N84" s="50" t="str"/>
      <c r="O84" s="50" t="str"/>
      <c r="P84" s="50" t="str"/>
      <c r="Q84" s="50" t="str"/>
      <c r="R84" s="57">
        <f>IF(D84="","",IF(H84&lt;&gt;"有效","不可用：未有效",IF(I84&lt;&gt;"是","不可用：权属",IF(AND(B84="Ⅱ类",L84="是"),"不可用：已用于通过认定","可用"))))</f>
        <v/>
      </c>
      <c r="S84" s="50" t="str"/>
    </row>
    <row r="85">
      <c r="A85" s="49" t="inlineStr">
        <is>
          <t>IP81</t>
        </is>
      </c>
      <c r="B85" s="50" t="str"/>
      <c r="C85" s="50" t="str"/>
      <c r="D85" s="50" t="str"/>
      <c r="E85" s="50" t="str"/>
      <c r="F85" s="50" t="str"/>
      <c r="G85" s="70" t="n"/>
      <c r="H85" s="50" t="str"/>
      <c r="I85" s="50" t="str"/>
      <c r="J85" s="50" t="str"/>
      <c r="K85" s="50" t="inlineStr">
        <is>
          <t>否</t>
        </is>
      </c>
      <c r="L85" s="50" t="inlineStr">
        <is>
          <t>否</t>
        </is>
      </c>
      <c r="M85" s="50" t="str"/>
      <c r="N85" s="50" t="str"/>
      <c r="O85" s="50" t="str"/>
      <c r="P85" s="50" t="str"/>
      <c r="Q85" s="50" t="str"/>
      <c r="R85" s="57">
        <f>IF(D85="","",IF(H85&lt;&gt;"有效","不可用：未有效",IF(I85&lt;&gt;"是","不可用：权属",IF(AND(B85="Ⅱ类",L85="是"),"不可用：已用于通过认定","可用"))))</f>
        <v/>
      </c>
      <c r="S85" s="50" t="str"/>
    </row>
    <row r="86">
      <c r="A86" s="49" t="inlineStr">
        <is>
          <t>IP82</t>
        </is>
      </c>
      <c r="B86" s="50" t="str"/>
      <c r="C86" s="50" t="str"/>
      <c r="D86" s="50" t="str"/>
      <c r="E86" s="50" t="str"/>
      <c r="F86" s="50" t="str"/>
      <c r="G86" s="70" t="n"/>
      <c r="H86" s="50" t="str"/>
      <c r="I86" s="50" t="str"/>
      <c r="J86" s="50" t="str"/>
      <c r="K86" s="50" t="inlineStr">
        <is>
          <t>否</t>
        </is>
      </c>
      <c r="L86" s="50" t="inlineStr">
        <is>
          <t>否</t>
        </is>
      </c>
      <c r="M86" s="50" t="str"/>
      <c r="N86" s="50" t="str"/>
      <c r="O86" s="50" t="str"/>
      <c r="P86" s="50" t="str"/>
      <c r="Q86" s="50" t="str"/>
      <c r="R86" s="57">
        <f>IF(D86="","",IF(H86&lt;&gt;"有效","不可用：未有效",IF(I86&lt;&gt;"是","不可用：权属",IF(AND(B86="Ⅱ类",L86="是"),"不可用：已用于通过认定","可用"))))</f>
        <v/>
      </c>
      <c r="S86" s="50" t="str"/>
    </row>
    <row r="87">
      <c r="A87" s="49" t="inlineStr">
        <is>
          <t>IP83</t>
        </is>
      </c>
      <c r="B87" s="50" t="str"/>
      <c r="C87" s="50" t="str"/>
      <c r="D87" s="50" t="str"/>
      <c r="E87" s="50" t="str"/>
      <c r="F87" s="50" t="str"/>
      <c r="G87" s="70" t="n"/>
      <c r="H87" s="50" t="str"/>
      <c r="I87" s="50" t="str"/>
      <c r="J87" s="50" t="str"/>
      <c r="K87" s="50" t="inlineStr">
        <is>
          <t>否</t>
        </is>
      </c>
      <c r="L87" s="50" t="inlineStr">
        <is>
          <t>否</t>
        </is>
      </c>
      <c r="M87" s="50" t="str"/>
      <c r="N87" s="50" t="str"/>
      <c r="O87" s="50" t="str"/>
      <c r="P87" s="50" t="str"/>
      <c r="Q87" s="50" t="str"/>
      <c r="R87" s="57">
        <f>IF(D87="","",IF(H87&lt;&gt;"有效","不可用：未有效",IF(I87&lt;&gt;"是","不可用：权属",IF(AND(B87="Ⅱ类",L87="是"),"不可用：已用于通过认定","可用"))))</f>
        <v/>
      </c>
      <c r="S87" s="50" t="str"/>
    </row>
    <row r="88">
      <c r="A88" s="49" t="inlineStr">
        <is>
          <t>IP84</t>
        </is>
      </c>
      <c r="B88" s="50" t="str"/>
      <c r="C88" s="50" t="str"/>
      <c r="D88" s="50" t="str"/>
      <c r="E88" s="50" t="str"/>
      <c r="F88" s="50" t="str"/>
      <c r="G88" s="70" t="n"/>
      <c r="H88" s="50" t="str"/>
      <c r="I88" s="50" t="str"/>
      <c r="J88" s="50" t="str"/>
      <c r="K88" s="50" t="inlineStr">
        <is>
          <t>否</t>
        </is>
      </c>
      <c r="L88" s="50" t="inlineStr">
        <is>
          <t>否</t>
        </is>
      </c>
      <c r="M88" s="50" t="str"/>
      <c r="N88" s="50" t="str"/>
      <c r="O88" s="50" t="str"/>
      <c r="P88" s="50" t="str"/>
      <c r="Q88" s="50" t="str"/>
      <c r="R88" s="57">
        <f>IF(D88="","",IF(H88&lt;&gt;"有效","不可用：未有效",IF(I88&lt;&gt;"是","不可用：权属",IF(AND(B88="Ⅱ类",L88="是"),"不可用：已用于通过认定","可用"))))</f>
        <v/>
      </c>
      <c r="S88" s="50" t="str"/>
    </row>
    <row r="89">
      <c r="A89" s="49" t="inlineStr">
        <is>
          <t>IP85</t>
        </is>
      </c>
      <c r="B89" s="50" t="str"/>
      <c r="C89" s="50" t="str"/>
      <c r="D89" s="50" t="str"/>
      <c r="E89" s="50" t="str"/>
      <c r="F89" s="50" t="str"/>
      <c r="G89" s="70" t="n"/>
      <c r="H89" s="50" t="str"/>
      <c r="I89" s="50" t="str"/>
      <c r="J89" s="50" t="str"/>
      <c r="K89" s="50" t="inlineStr">
        <is>
          <t>否</t>
        </is>
      </c>
      <c r="L89" s="50" t="inlineStr">
        <is>
          <t>否</t>
        </is>
      </c>
      <c r="M89" s="50" t="str"/>
      <c r="N89" s="50" t="str"/>
      <c r="O89" s="50" t="str"/>
      <c r="P89" s="50" t="str"/>
      <c r="Q89" s="50" t="str"/>
      <c r="R89" s="57">
        <f>IF(D89="","",IF(H89&lt;&gt;"有效","不可用：未有效",IF(I89&lt;&gt;"是","不可用：权属",IF(AND(B89="Ⅱ类",L89="是"),"不可用：已用于通过认定","可用"))))</f>
        <v/>
      </c>
      <c r="S89" s="50" t="str"/>
    </row>
    <row r="90">
      <c r="A90" s="49" t="inlineStr">
        <is>
          <t>IP86</t>
        </is>
      </c>
      <c r="B90" s="50" t="str"/>
      <c r="C90" s="50" t="str"/>
      <c r="D90" s="50" t="str"/>
      <c r="E90" s="50" t="str"/>
      <c r="F90" s="50" t="str"/>
      <c r="G90" s="70" t="n"/>
      <c r="H90" s="50" t="str"/>
      <c r="I90" s="50" t="str"/>
      <c r="J90" s="50" t="str"/>
      <c r="K90" s="50" t="inlineStr">
        <is>
          <t>否</t>
        </is>
      </c>
      <c r="L90" s="50" t="inlineStr">
        <is>
          <t>否</t>
        </is>
      </c>
      <c r="M90" s="50" t="str"/>
      <c r="N90" s="50" t="str"/>
      <c r="O90" s="50" t="str"/>
      <c r="P90" s="50" t="str"/>
      <c r="Q90" s="50" t="str"/>
      <c r="R90" s="57">
        <f>IF(D90="","",IF(H90&lt;&gt;"有效","不可用：未有效",IF(I90&lt;&gt;"是","不可用：权属",IF(AND(B90="Ⅱ类",L90="是"),"不可用：已用于通过认定","可用"))))</f>
        <v/>
      </c>
      <c r="S90" s="50" t="str"/>
    </row>
    <row r="91">
      <c r="A91" s="49" t="inlineStr">
        <is>
          <t>IP87</t>
        </is>
      </c>
      <c r="B91" s="50" t="str"/>
      <c r="C91" s="50" t="str"/>
      <c r="D91" s="50" t="str"/>
      <c r="E91" s="50" t="str"/>
      <c r="F91" s="50" t="str"/>
      <c r="G91" s="70" t="n"/>
      <c r="H91" s="50" t="str"/>
      <c r="I91" s="50" t="str"/>
      <c r="J91" s="50" t="str"/>
      <c r="K91" s="50" t="inlineStr">
        <is>
          <t>否</t>
        </is>
      </c>
      <c r="L91" s="50" t="inlineStr">
        <is>
          <t>否</t>
        </is>
      </c>
      <c r="M91" s="50" t="str"/>
      <c r="N91" s="50" t="str"/>
      <c r="O91" s="50" t="str"/>
      <c r="P91" s="50" t="str"/>
      <c r="Q91" s="50" t="str"/>
      <c r="R91" s="57">
        <f>IF(D91="","",IF(H91&lt;&gt;"有效","不可用：未有效",IF(I91&lt;&gt;"是","不可用：权属",IF(AND(B91="Ⅱ类",L91="是"),"不可用：已用于通过认定","可用"))))</f>
        <v/>
      </c>
      <c r="S91" s="50" t="str"/>
    </row>
    <row r="92">
      <c r="A92" s="49" t="inlineStr">
        <is>
          <t>IP88</t>
        </is>
      </c>
      <c r="B92" s="50" t="str"/>
      <c r="C92" s="50" t="str"/>
      <c r="D92" s="50" t="str"/>
      <c r="E92" s="50" t="str"/>
      <c r="F92" s="50" t="str"/>
      <c r="G92" s="70" t="n"/>
      <c r="H92" s="50" t="str"/>
      <c r="I92" s="50" t="str"/>
      <c r="J92" s="50" t="str"/>
      <c r="K92" s="50" t="inlineStr">
        <is>
          <t>否</t>
        </is>
      </c>
      <c r="L92" s="50" t="inlineStr">
        <is>
          <t>否</t>
        </is>
      </c>
      <c r="M92" s="50" t="str"/>
      <c r="N92" s="50" t="str"/>
      <c r="O92" s="50" t="str"/>
      <c r="P92" s="50" t="str"/>
      <c r="Q92" s="50" t="str"/>
      <c r="R92" s="57">
        <f>IF(D92="","",IF(H92&lt;&gt;"有效","不可用：未有效",IF(I92&lt;&gt;"是","不可用：权属",IF(AND(B92="Ⅱ类",L92="是"),"不可用：已用于通过认定","可用"))))</f>
        <v/>
      </c>
      <c r="S92" s="50" t="str"/>
    </row>
    <row r="93">
      <c r="A93" s="49" t="inlineStr">
        <is>
          <t>IP89</t>
        </is>
      </c>
      <c r="B93" s="50" t="str"/>
      <c r="C93" s="50" t="str"/>
      <c r="D93" s="50" t="str"/>
      <c r="E93" s="50" t="str"/>
      <c r="F93" s="50" t="str"/>
      <c r="G93" s="70" t="n"/>
      <c r="H93" s="50" t="str"/>
      <c r="I93" s="50" t="str"/>
      <c r="J93" s="50" t="str"/>
      <c r="K93" s="50" t="inlineStr">
        <is>
          <t>否</t>
        </is>
      </c>
      <c r="L93" s="50" t="inlineStr">
        <is>
          <t>否</t>
        </is>
      </c>
      <c r="M93" s="50" t="str"/>
      <c r="N93" s="50" t="str"/>
      <c r="O93" s="50" t="str"/>
      <c r="P93" s="50" t="str"/>
      <c r="Q93" s="50" t="str"/>
      <c r="R93" s="57">
        <f>IF(D93="","",IF(H93&lt;&gt;"有效","不可用：未有效",IF(I93&lt;&gt;"是","不可用：权属",IF(AND(B93="Ⅱ类",L93="是"),"不可用：已用于通过认定","可用"))))</f>
        <v/>
      </c>
      <c r="S93" s="50" t="str"/>
    </row>
    <row r="94">
      <c r="A94" s="49" t="inlineStr">
        <is>
          <t>IP90</t>
        </is>
      </c>
      <c r="B94" s="50" t="str"/>
      <c r="C94" s="50" t="str"/>
      <c r="D94" s="50" t="str"/>
      <c r="E94" s="50" t="str"/>
      <c r="F94" s="50" t="str"/>
      <c r="G94" s="70" t="n"/>
      <c r="H94" s="50" t="str"/>
      <c r="I94" s="50" t="str"/>
      <c r="J94" s="50" t="str"/>
      <c r="K94" s="50" t="inlineStr">
        <is>
          <t>否</t>
        </is>
      </c>
      <c r="L94" s="50" t="inlineStr">
        <is>
          <t>否</t>
        </is>
      </c>
      <c r="M94" s="50" t="str"/>
      <c r="N94" s="50" t="str"/>
      <c r="O94" s="50" t="str"/>
      <c r="P94" s="50" t="str"/>
      <c r="Q94" s="50" t="str"/>
      <c r="R94" s="57">
        <f>IF(D94="","",IF(H94&lt;&gt;"有效","不可用：未有效",IF(I94&lt;&gt;"是","不可用：权属",IF(AND(B94="Ⅱ类",L94="是"),"不可用：已用于通过认定","可用"))))</f>
        <v/>
      </c>
      <c r="S94" s="50" t="str"/>
    </row>
    <row r="95">
      <c r="A95" s="49" t="inlineStr">
        <is>
          <t>IP91</t>
        </is>
      </c>
      <c r="B95" s="50" t="str"/>
      <c r="C95" s="50" t="str"/>
      <c r="D95" s="50" t="str"/>
      <c r="E95" s="50" t="str"/>
      <c r="F95" s="50" t="str"/>
      <c r="G95" s="70" t="n"/>
      <c r="H95" s="50" t="str"/>
      <c r="I95" s="50" t="str"/>
      <c r="J95" s="50" t="str"/>
      <c r="K95" s="50" t="inlineStr">
        <is>
          <t>否</t>
        </is>
      </c>
      <c r="L95" s="50" t="inlineStr">
        <is>
          <t>否</t>
        </is>
      </c>
      <c r="M95" s="50" t="str"/>
      <c r="N95" s="50" t="str"/>
      <c r="O95" s="50" t="str"/>
      <c r="P95" s="50" t="str"/>
      <c r="Q95" s="50" t="str"/>
      <c r="R95" s="57">
        <f>IF(D95="","",IF(H95&lt;&gt;"有效","不可用：未有效",IF(I95&lt;&gt;"是","不可用：权属",IF(AND(B95="Ⅱ类",L95="是"),"不可用：已用于通过认定","可用"))))</f>
        <v/>
      </c>
      <c r="S95" s="50" t="str"/>
    </row>
    <row r="96">
      <c r="A96" s="49" t="inlineStr">
        <is>
          <t>IP92</t>
        </is>
      </c>
      <c r="B96" s="50" t="str"/>
      <c r="C96" s="50" t="str"/>
      <c r="D96" s="50" t="str"/>
      <c r="E96" s="50" t="str"/>
      <c r="F96" s="50" t="str"/>
      <c r="G96" s="70" t="n"/>
      <c r="H96" s="50" t="str"/>
      <c r="I96" s="50" t="str"/>
      <c r="J96" s="50" t="str"/>
      <c r="K96" s="50" t="inlineStr">
        <is>
          <t>否</t>
        </is>
      </c>
      <c r="L96" s="50" t="inlineStr">
        <is>
          <t>否</t>
        </is>
      </c>
      <c r="M96" s="50" t="str"/>
      <c r="N96" s="50" t="str"/>
      <c r="O96" s="50" t="str"/>
      <c r="P96" s="50" t="str"/>
      <c r="Q96" s="50" t="str"/>
      <c r="R96" s="57">
        <f>IF(D96="","",IF(H96&lt;&gt;"有效","不可用：未有效",IF(I96&lt;&gt;"是","不可用：权属",IF(AND(B96="Ⅱ类",L96="是"),"不可用：已用于通过认定","可用"))))</f>
        <v/>
      </c>
      <c r="S96" s="50" t="str"/>
    </row>
    <row r="97">
      <c r="A97" s="49" t="inlineStr">
        <is>
          <t>IP93</t>
        </is>
      </c>
      <c r="B97" s="50" t="str"/>
      <c r="C97" s="50" t="str"/>
      <c r="D97" s="50" t="str"/>
      <c r="E97" s="50" t="str"/>
      <c r="F97" s="50" t="str"/>
      <c r="G97" s="70" t="n"/>
      <c r="H97" s="50" t="str"/>
      <c r="I97" s="50" t="str"/>
      <c r="J97" s="50" t="str"/>
      <c r="K97" s="50" t="inlineStr">
        <is>
          <t>否</t>
        </is>
      </c>
      <c r="L97" s="50" t="inlineStr">
        <is>
          <t>否</t>
        </is>
      </c>
      <c r="M97" s="50" t="str"/>
      <c r="N97" s="50" t="str"/>
      <c r="O97" s="50" t="str"/>
      <c r="P97" s="50" t="str"/>
      <c r="Q97" s="50" t="str"/>
      <c r="R97" s="57">
        <f>IF(D97="","",IF(H97&lt;&gt;"有效","不可用：未有效",IF(I97&lt;&gt;"是","不可用：权属",IF(AND(B97="Ⅱ类",L97="是"),"不可用：已用于通过认定","可用"))))</f>
        <v/>
      </c>
      <c r="S97" s="50" t="str"/>
    </row>
    <row r="98">
      <c r="A98" s="49" t="inlineStr">
        <is>
          <t>IP94</t>
        </is>
      </c>
      <c r="B98" s="50" t="str"/>
      <c r="C98" s="50" t="str"/>
      <c r="D98" s="50" t="str"/>
      <c r="E98" s="50" t="str"/>
      <c r="F98" s="50" t="str"/>
      <c r="G98" s="70" t="n"/>
      <c r="H98" s="50" t="str"/>
      <c r="I98" s="50" t="str"/>
      <c r="J98" s="50" t="str"/>
      <c r="K98" s="50" t="inlineStr">
        <is>
          <t>否</t>
        </is>
      </c>
      <c r="L98" s="50" t="inlineStr">
        <is>
          <t>否</t>
        </is>
      </c>
      <c r="M98" s="50" t="str"/>
      <c r="N98" s="50" t="str"/>
      <c r="O98" s="50" t="str"/>
      <c r="P98" s="50" t="str"/>
      <c r="Q98" s="50" t="str"/>
      <c r="R98" s="57">
        <f>IF(D98="","",IF(H98&lt;&gt;"有效","不可用：未有效",IF(I98&lt;&gt;"是","不可用：权属",IF(AND(B98="Ⅱ类",L98="是"),"不可用：已用于通过认定","可用"))))</f>
        <v/>
      </c>
      <c r="S98" s="50" t="str"/>
    </row>
    <row r="99">
      <c r="A99" s="49" t="inlineStr">
        <is>
          <t>IP95</t>
        </is>
      </c>
      <c r="B99" s="50" t="str"/>
      <c r="C99" s="50" t="str"/>
      <c r="D99" s="50" t="str"/>
      <c r="E99" s="50" t="str"/>
      <c r="F99" s="50" t="str"/>
      <c r="G99" s="70" t="n"/>
      <c r="H99" s="50" t="str"/>
      <c r="I99" s="50" t="str"/>
      <c r="J99" s="50" t="str"/>
      <c r="K99" s="50" t="inlineStr">
        <is>
          <t>否</t>
        </is>
      </c>
      <c r="L99" s="50" t="inlineStr">
        <is>
          <t>否</t>
        </is>
      </c>
      <c r="M99" s="50" t="str"/>
      <c r="N99" s="50" t="str"/>
      <c r="O99" s="50" t="str"/>
      <c r="P99" s="50" t="str"/>
      <c r="Q99" s="50" t="str"/>
      <c r="R99" s="57">
        <f>IF(D99="","",IF(H99&lt;&gt;"有效","不可用：未有效",IF(I99&lt;&gt;"是","不可用：权属",IF(AND(B99="Ⅱ类",L99="是"),"不可用：已用于通过认定","可用"))))</f>
        <v/>
      </c>
      <c r="S99" s="50" t="str"/>
    </row>
    <row r="100">
      <c r="A100" s="49" t="inlineStr">
        <is>
          <t>IP96</t>
        </is>
      </c>
      <c r="B100" s="50" t="str"/>
      <c r="C100" s="50" t="str"/>
      <c r="D100" s="50" t="str"/>
      <c r="E100" s="50" t="str"/>
      <c r="F100" s="50" t="str"/>
      <c r="G100" s="70" t="n"/>
      <c r="H100" s="50" t="str"/>
      <c r="I100" s="50" t="str"/>
      <c r="J100" s="50" t="str"/>
      <c r="K100" s="50" t="inlineStr">
        <is>
          <t>否</t>
        </is>
      </c>
      <c r="L100" s="50" t="inlineStr">
        <is>
          <t>否</t>
        </is>
      </c>
      <c r="M100" s="50" t="str"/>
      <c r="N100" s="50" t="str"/>
      <c r="O100" s="50" t="str"/>
      <c r="P100" s="50" t="str"/>
      <c r="Q100" s="50" t="str"/>
      <c r="R100" s="57">
        <f>IF(D100="","",IF(H100&lt;&gt;"有效","不可用：未有效",IF(I100&lt;&gt;"是","不可用：权属",IF(AND(B100="Ⅱ类",L100="是"),"不可用：已用于通过认定","可用"))))</f>
        <v/>
      </c>
      <c r="S100" s="50" t="str"/>
    </row>
    <row r="101">
      <c r="A101" s="49" t="inlineStr">
        <is>
          <t>IP97</t>
        </is>
      </c>
      <c r="B101" s="50" t="str"/>
      <c r="C101" s="50" t="str"/>
      <c r="D101" s="50" t="str"/>
      <c r="E101" s="50" t="str"/>
      <c r="F101" s="50" t="str"/>
      <c r="G101" s="70" t="n"/>
      <c r="H101" s="50" t="str"/>
      <c r="I101" s="50" t="str"/>
      <c r="J101" s="50" t="str"/>
      <c r="K101" s="50" t="inlineStr">
        <is>
          <t>否</t>
        </is>
      </c>
      <c r="L101" s="50" t="inlineStr">
        <is>
          <t>否</t>
        </is>
      </c>
      <c r="M101" s="50" t="str"/>
      <c r="N101" s="50" t="str"/>
      <c r="O101" s="50" t="str"/>
      <c r="P101" s="50" t="str"/>
      <c r="Q101" s="50" t="str"/>
      <c r="R101" s="57">
        <f>IF(D101="","",IF(H101&lt;&gt;"有效","不可用：未有效",IF(I101&lt;&gt;"是","不可用：权属",IF(AND(B101="Ⅱ类",L101="是"),"不可用：已用于通过认定","可用"))))</f>
        <v/>
      </c>
      <c r="S101" s="50" t="str"/>
    </row>
    <row r="102">
      <c r="A102" s="49" t="inlineStr">
        <is>
          <t>IP98</t>
        </is>
      </c>
      <c r="B102" s="50" t="str"/>
      <c r="C102" s="50" t="str"/>
      <c r="D102" s="50" t="str"/>
      <c r="E102" s="50" t="str"/>
      <c r="F102" s="50" t="str"/>
      <c r="G102" s="70" t="n"/>
      <c r="H102" s="50" t="str"/>
      <c r="I102" s="50" t="str"/>
      <c r="J102" s="50" t="str"/>
      <c r="K102" s="50" t="inlineStr">
        <is>
          <t>否</t>
        </is>
      </c>
      <c r="L102" s="50" t="inlineStr">
        <is>
          <t>否</t>
        </is>
      </c>
      <c r="M102" s="50" t="str"/>
      <c r="N102" s="50" t="str"/>
      <c r="O102" s="50" t="str"/>
      <c r="P102" s="50" t="str"/>
      <c r="Q102" s="50" t="str"/>
      <c r="R102" s="57">
        <f>IF(D102="","",IF(H102&lt;&gt;"有效","不可用：未有效",IF(I102&lt;&gt;"是","不可用：权属",IF(AND(B102="Ⅱ类",L102="是"),"不可用：已用于通过认定","可用"))))</f>
        <v/>
      </c>
      <c r="S102" s="50" t="str"/>
    </row>
    <row r="103">
      <c r="A103" s="49" t="inlineStr">
        <is>
          <t>IP99</t>
        </is>
      </c>
      <c r="B103" s="50" t="str"/>
      <c r="C103" s="50" t="str"/>
      <c r="D103" s="50" t="str"/>
      <c r="E103" s="50" t="str"/>
      <c r="F103" s="50" t="str"/>
      <c r="G103" s="70" t="n"/>
      <c r="H103" s="50" t="str"/>
      <c r="I103" s="50" t="str"/>
      <c r="J103" s="50" t="str"/>
      <c r="K103" s="50" t="inlineStr">
        <is>
          <t>否</t>
        </is>
      </c>
      <c r="L103" s="50" t="inlineStr">
        <is>
          <t>否</t>
        </is>
      </c>
      <c r="M103" s="50" t="str"/>
      <c r="N103" s="50" t="str"/>
      <c r="O103" s="50" t="str"/>
      <c r="P103" s="50" t="str"/>
      <c r="Q103" s="50" t="str"/>
      <c r="R103" s="57">
        <f>IF(D103="","",IF(H103&lt;&gt;"有效","不可用：未有效",IF(I103&lt;&gt;"是","不可用：权属",IF(AND(B103="Ⅱ类",L103="是"),"不可用：已用于通过认定","可用"))))</f>
        <v/>
      </c>
      <c r="S103" s="50" t="str"/>
    </row>
    <row r="104">
      <c r="A104" s="49" t="inlineStr">
        <is>
          <t>IP100</t>
        </is>
      </c>
      <c r="B104" s="50" t="str"/>
      <c r="C104" s="50" t="str"/>
      <c r="D104" s="50" t="str"/>
      <c r="E104" s="50" t="str"/>
      <c r="F104" s="50" t="str"/>
      <c r="G104" s="70" t="n"/>
      <c r="H104" s="50" t="str"/>
      <c r="I104" s="50" t="str"/>
      <c r="J104" s="50" t="str"/>
      <c r="K104" s="50" t="inlineStr">
        <is>
          <t>否</t>
        </is>
      </c>
      <c r="L104" s="50" t="inlineStr">
        <is>
          <t>否</t>
        </is>
      </c>
      <c r="M104" s="50" t="str"/>
      <c r="N104" s="50" t="str"/>
      <c r="O104" s="50" t="str"/>
      <c r="P104" s="50" t="str"/>
      <c r="Q104" s="50" t="str"/>
      <c r="R104" s="57">
        <f>IF(D104="","",IF(H104&lt;&gt;"有效","不可用：未有效",IF(I104&lt;&gt;"是","不可用：权属",IF(AND(B104="Ⅱ类",L104="是"),"不可用：已用于通过认定","可用"))))</f>
        <v/>
      </c>
      <c r="S104" s="50" t="str"/>
    </row>
  </sheetData>
  <mergeCells count="2">
    <mergeCell ref="A2:S2"/>
    <mergeCell ref="A1:S1"/>
  </mergeCells>
  <conditionalFormatting sqref="R5:R104">
    <cfRule type="containsText" priority="1" operator="containsText" dxfId="0" text="可用"/>
    <cfRule type="beginsWith" priority="2" operator="beginsWith" dxfId="1" text="不可用"/>
  </conditionalFormatting>
  <dataValidations count="8">
    <dataValidation sqref="B5:B104" showDropDown="0" showInputMessage="0" showErrorMessage="0" allowBlank="0" type="list">
      <formula1>"Ⅰ类,Ⅱ类"</formula1>
    </dataValidation>
    <dataValidation sqref="C5:C104" showDropDown="0" showInputMessage="0" showErrorMessage="0" allowBlank="0" type="list">
      <formula1>"发明专利,实用新型,外观设计,软件著作权,植物新品种,集成电路布图设计,其他"</formula1>
    </dataValidation>
    <dataValidation sqref="H5:H104" showDropDown="0" showInputMessage="0" showErrorMessage="0" allowBlank="0" type="list">
      <formula1>"有效,申请中,失效,待核"</formula1>
    </dataValidation>
    <dataValidation sqref="I5:I104" showDropDown="0" showInputMessage="0" showErrorMessage="0" allowBlank="0" type="list">
      <formula1>"是,否,待核"</formula1>
    </dataValidation>
    <dataValidation sqref="J5:J104" showDropDown="0" showInputMessage="0" showErrorMessage="0" allowBlank="0" type="list">
      <formula1>"自主研发,受让,受赠,并购,其他"</formula1>
    </dataValidation>
    <dataValidation sqref="K5:L104" showDropDown="0" showInputMessage="0" showErrorMessage="0" allowBlank="0" type="list">
      <formula1>"是,否,待核"</formula1>
    </dataValidation>
    <dataValidation sqref="P5:P104" showDropDown="0" showInputMessage="0" showErrorMessage="0" allowBlank="0" type="list">
      <formula1>"强,较强,一般,较弱,无,待核"</formula1>
    </dataValidation>
    <dataValidation sqref="Q5:Q104" showDropDown="0" showInputMessage="0" showErrorMessage="0" allowBlank="0" type="list">
      <formula1>"完整,部分,薄弱,待核"</formula1>
    </dataValidation>
  </dataValidations>
  <pageMargins left="0.3" right="0.3" top="0.3" bottom="0.3" header="0.3" footer="0.3"/>
  <pageSetup orientation="landscape" paperSize="8" fitToHeight="0" fitToWidth="1" pageOrder="downThenOver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P1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6" customWidth="1" min="4" max="4"/>
    <col width="14" customWidth="1" min="5" max="5"/>
    <col width="28" customWidth="1" min="6" max="6"/>
    <col width="28" customWidth="1" min="7" max="7"/>
    <col width="24" customWidth="1" min="8" max="8"/>
    <col width="28" customWidth="1" min="9" max="9"/>
    <col width="18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30" customWidth="1" min="16" max="16"/>
  </cols>
  <sheetData>
    <row r="1" ht="34" customHeight="1">
      <c r="A1" s="46" t="inlineStr">
        <is>
          <t>科技成果转化逐项采集</t>
        </is>
      </c>
    </row>
    <row r="2" ht="28" customHeight="1">
      <c r="A2" s="40" t="inlineStr">
        <is>
          <t>保守计数要求成果来源、转化过程、转化载体和应用成效形成证据链；同一成果不得重复拆分。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</row>
    <row r="4">
      <c r="A4" s="48" t="inlineStr">
        <is>
          <t>转化编号</t>
        </is>
      </c>
      <c r="B4" s="48" t="inlineStr">
        <is>
          <t>年度</t>
        </is>
      </c>
      <c r="C4" s="48" t="inlineStr">
        <is>
          <t>成果名称</t>
        </is>
      </c>
      <c r="D4" s="48" t="inlineStr">
        <is>
          <t>成果来源类型</t>
        </is>
      </c>
      <c r="E4" s="48" t="inlineStr">
        <is>
          <t>来源编号</t>
        </is>
      </c>
      <c r="F4" s="48" t="inlineStr">
        <is>
          <t>技术边界</t>
        </is>
      </c>
      <c r="G4" s="48" t="inlineStr">
        <is>
          <t>转化过程证据</t>
        </is>
      </c>
      <c r="H4" s="48" t="inlineStr">
        <is>
          <t>转化载体</t>
        </is>
      </c>
      <c r="I4" s="48" t="inlineStr">
        <is>
          <t>应用成效证据</t>
        </is>
      </c>
      <c r="J4" s="48" t="inlineStr">
        <is>
          <t>对应高品</t>
        </is>
      </c>
      <c r="K4" s="48" t="inlineStr">
        <is>
          <t>对应收入</t>
        </is>
      </c>
      <c r="L4" s="48" t="inlineStr">
        <is>
          <t>独立成果</t>
        </is>
      </c>
      <c r="M4" s="48" t="inlineStr">
        <is>
          <t>是否重复</t>
        </is>
      </c>
      <c r="N4" s="48" t="inlineStr">
        <is>
          <t>保守判断</t>
        </is>
      </c>
      <c r="O4" s="48" t="inlineStr">
        <is>
          <t>保守计数</t>
        </is>
      </c>
      <c r="P4" s="48" t="inlineStr">
        <is>
          <t>争议与备注</t>
        </is>
      </c>
    </row>
    <row r="5">
      <c r="A5" s="49" t="inlineStr">
        <is>
          <t>CT01</t>
        </is>
      </c>
      <c r="B5" s="50" t="n"/>
      <c r="C5" s="50" t="str"/>
      <c r="D5" s="50" t="str"/>
      <c r="E5" s="50" t="str"/>
      <c r="F5" s="50" t="str"/>
      <c r="G5" s="50" t="str"/>
      <c r="H5" s="50" t="str"/>
      <c r="I5" s="50" t="str"/>
      <c r="J5" s="50" t="str"/>
      <c r="K5" s="71" t="n"/>
      <c r="L5" s="50" t="inlineStr">
        <is>
          <t>待核</t>
        </is>
      </c>
      <c r="M5" s="50" t="inlineStr">
        <is>
          <t>待核</t>
        </is>
      </c>
      <c r="N5" s="57">
        <f>IF(C5="","",IF(AND(F5&lt;&gt;"",G5&lt;&gt;"",H5&lt;&gt;"",I5&lt;&gt;"",L5="是",M5="否"),"计1项",IF(AND(H5&lt;&gt;"",I5&lt;&gt;"",L5="是",M5="否"),"中等证据","保守不计")))</f>
        <v/>
      </c>
      <c r="O5" s="57">
        <f>IF(OR(N5="计1项",N5="中等证据"),1,0)</f>
        <v/>
      </c>
      <c r="P5" s="50" t="str"/>
    </row>
    <row r="6">
      <c r="A6" s="49" t="inlineStr">
        <is>
          <t>CT02</t>
        </is>
      </c>
      <c r="B6" s="50" t="n"/>
      <c r="C6" s="50" t="str"/>
      <c r="D6" s="50" t="str"/>
      <c r="E6" s="50" t="str"/>
      <c r="F6" s="50" t="str"/>
      <c r="G6" s="50" t="str"/>
      <c r="H6" s="50" t="str"/>
      <c r="I6" s="50" t="str"/>
      <c r="J6" s="50" t="str"/>
      <c r="K6" s="71" t="n"/>
      <c r="L6" s="50" t="inlineStr">
        <is>
          <t>待核</t>
        </is>
      </c>
      <c r="M6" s="50" t="inlineStr">
        <is>
          <t>待核</t>
        </is>
      </c>
      <c r="N6" s="57">
        <f>IF(C6="","",IF(AND(F6&lt;&gt;"",G6&lt;&gt;"",H6&lt;&gt;"",I6&lt;&gt;"",L6="是",M6="否"),"计1项",IF(AND(H6&lt;&gt;"",I6&lt;&gt;"",L6="是",M6="否"),"中等证据","保守不计")))</f>
        <v/>
      </c>
      <c r="O6" s="57">
        <f>IF(OR(N6="计1项",N6="中等证据"),1,0)</f>
        <v/>
      </c>
      <c r="P6" s="50" t="str"/>
    </row>
    <row r="7">
      <c r="A7" s="49" t="inlineStr">
        <is>
          <t>CT03</t>
        </is>
      </c>
      <c r="B7" s="50" t="n"/>
      <c r="C7" s="50" t="str"/>
      <c r="D7" s="50" t="str"/>
      <c r="E7" s="50" t="str"/>
      <c r="F7" s="50" t="str"/>
      <c r="G7" s="50" t="str"/>
      <c r="H7" s="50" t="str"/>
      <c r="I7" s="50" t="str"/>
      <c r="J7" s="50" t="str"/>
      <c r="K7" s="71" t="n"/>
      <c r="L7" s="50" t="inlineStr">
        <is>
          <t>待核</t>
        </is>
      </c>
      <c r="M7" s="50" t="inlineStr">
        <is>
          <t>待核</t>
        </is>
      </c>
      <c r="N7" s="57">
        <f>IF(C7="","",IF(AND(F7&lt;&gt;"",G7&lt;&gt;"",H7&lt;&gt;"",I7&lt;&gt;"",L7="是",M7="否"),"计1项",IF(AND(H7&lt;&gt;"",I7&lt;&gt;"",L7="是",M7="否"),"中等证据","保守不计")))</f>
        <v/>
      </c>
      <c r="O7" s="57">
        <f>IF(OR(N7="计1项",N7="中等证据"),1,0)</f>
        <v/>
      </c>
      <c r="P7" s="50" t="str"/>
    </row>
    <row r="8">
      <c r="A8" s="49" t="inlineStr">
        <is>
          <t>CT04</t>
        </is>
      </c>
      <c r="B8" s="50" t="n"/>
      <c r="C8" s="50" t="str"/>
      <c r="D8" s="50" t="str"/>
      <c r="E8" s="50" t="str"/>
      <c r="F8" s="50" t="str"/>
      <c r="G8" s="50" t="str"/>
      <c r="H8" s="50" t="str"/>
      <c r="I8" s="50" t="str"/>
      <c r="J8" s="50" t="str"/>
      <c r="K8" s="71" t="n"/>
      <c r="L8" s="50" t="inlineStr">
        <is>
          <t>待核</t>
        </is>
      </c>
      <c r="M8" s="50" t="inlineStr">
        <is>
          <t>待核</t>
        </is>
      </c>
      <c r="N8" s="57">
        <f>IF(C8="","",IF(AND(F8&lt;&gt;"",G8&lt;&gt;"",H8&lt;&gt;"",I8&lt;&gt;"",L8="是",M8="否"),"计1项",IF(AND(H8&lt;&gt;"",I8&lt;&gt;"",L8="是",M8="否"),"中等证据","保守不计")))</f>
        <v/>
      </c>
      <c r="O8" s="57">
        <f>IF(OR(N8="计1项",N8="中等证据"),1,0)</f>
        <v/>
      </c>
      <c r="P8" s="50" t="str"/>
    </row>
    <row r="9">
      <c r="A9" s="49" t="inlineStr">
        <is>
          <t>CT05</t>
        </is>
      </c>
      <c r="B9" s="50" t="n"/>
      <c r="C9" s="50" t="str"/>
      <c r="D9" s="50" t="str"/>
      <c r="E9" s="50" t="str"/>
      <c r="F9" s="50" t="str"/>
      <c r="G9" s="50" t="str"/>
      <c r="H9" s="50" t="str"/>
      <c r="I9" s="50" t="str"/>
      <c r="J9" s="50" t="str"/>
      <c r="K9" s="71" t="n"/>
      <c r="L9" s="50" t="inlineStr">
        <is>
          <t>待核</t>
        </is>
      </c>
      <c r="M9" s="50" t="inlineStr">
        <is>
          <t>待核</t>
        </is>
      </c>
      <c r="N9" s="57">
        <f>IF(C9="","",IF(AND(F9&lt;&gt;"",G9&lt;&gt;"",H9&lt;&gt;"",I9&lt;&gt;"",L9="是",M9="否"),"计1项",IF(AND(H9&lt;&gt;"",I9&lt;&gt;"",L9="是",M9="否"),"中等证据","保守不计")))</f>
        <v/>
      </c>
      <c r="O9" s="57">
        <f>IF(OR(N9="计1项",N9="中等证据"),1,0)</f>
        <v/>
      </c>
      <c r="P9" s="50" t="str"/>
    </row>
    <row r="10">
      <c r="A10" s="49" t="inlineStr">
        <is>
          <t>CT06</t>
        </is>
      </c>
      <c r="B10" s="50" t="n"/>
      <c r="C10" s="50" t="str"/>
      <c r="D10" s="50" t="str"/>
      <c r="E10" s="50" t="str"/>
      <c r="F10" s="50" t="str"/>
      <c r="G10" s="50" t="str"/>
      <c r="H10" s="50" t="str"/>
      <c r="I10" s="50" t="str"/>
      <c r="J10" s="50" t="str"/>
      <c r="K10" s="71" t="n"/>
      <c r="L10" s="50" t="inlineStr">
        <is>
          <t>待核</t>
        </is>
      </c>
      <c r="M10" s="50" t="inlineStr">
        <is>
          <t>待核</t>
        </is>
      </c>
      <c r="N10" s="57">
        <f>IF(C10="","",IF(AND(F10&lt;&gt;"",G10&lt;&gt;"",H10&lt;&gt;"",I10&lt;&gt;"",L10="是",M10="否"),"计1项",IF(AND(H10&lt;&gt;"",I10&lt;&gt;"",L10="是",M10="否"),"中等证据","保守不计")))</f>
        <v/>
      </c>
      <c r="O10" s="57">
        <f>IF(OR(N10="计1项",N10="中等证据"),1,0)</f>
        <v/>
      </c>
      <c r="P10" s="50" t="str"/>
    </row>
    <row r="11">
      <c r="A11" s="49" t="inlineStr">
        <is>
          <t>CT07</t>
        </is>
      </c>
      <c r="B11" s="50" t="n"/>
      <c r="C11" s="50" t="str"/>
      <c r="D11" s="50" t="str"/>
      <c r="E11" s="50" t="str"/>
      <c r="F11" s="50" t="str"/>
      <c r="G11" s="50" t="str"/>
      <c r="H11" s="50" t="str"/>
      <c r="I11" s="50" t="str"/>
      <c r="J11" s="50" t="str"/>
      <c r="K11" s="71" t="n"/>
      <c r="L11" s="50" t="inlineStr">
        <is>
          <t>待核</t>
        </is>
      </c>
      <c r="M11" s="50" t="inlineStr">
        <is>
          <t>待核</t>
        </is>
      </c>
      <c r="N11" s="57">
        <f>IF(C11="","",IF(AND(F11&lt;&gt;"",G11&lt;&gt;"",H11&lt;&gt;"",I11&lt;&gt;"",L11="是",M11="否"),"计1项",IF(AND(H11&lt;&gt;"",I11&lt;&gt;"",L11="是",M11="否"),"中等证据","保守不计")))</f>
        <v/>
      </c>
      <c r="O11" s="57">
        <f>IF(OR(N11="计1项",N11="中等证据"),1,0)</f>
        <v/>
      </c>
      <c r="P11" s="50" t="str"/>
    </row>
    <row r="12">
      <c r="A12" s="49" t="inlineStr">
        <is>
          <t>CT08</t>
        </is>
      </c>
      <c r="B12" s="50" t="n"/>
      <c r="C12" s="50" t="str"/>
      <c r="D12" s="50" t="str"/>
      <c r="E12" s="50" t="str"/>
      <c r="F12" s="50" t="str"/>
      <c r="G12" s="50" t="str"/>
      <c r="H12" s="50" t="str"/>
      <c r="I12" s="50" t="str"/>
      <c r="J12" s="50" t="str"/>
      <c r="K12" s="71" t="n"/>
      <c r="L12" s="50" t="inlineStr">
        <is>
          <t>待核</t>
        </is>
      </c>
      <c r="M12" s="50" t="inlineStr">
        <is>
          <t>待核</t>
        </is>
      </c>
      <c r="N12" s="57">
        <f>IF(C12="","",IF(AND(F12&lt;&gt;"",G12&lt;&gt;"",H12&lt;&gt;"",I12&lt;&gt;"",L12="是",M12="否"),"计1项",IF(AND(H12&lt;&gt;"",I12&lt;&gt;"",L12="是",M12="否"),"中等证据","保守不计")))</f>
        <v/>
      </c>
      <c r="O12" s="57">
        <f>IF(OR(N12="计1项",N12="中等证据"),1,0)</f>
        <v/>
      </c>
      <c r="P12" s="50" t="str"/>
    </row>
    <row r="13">
      <c r="A13" s="49" t="inlineStr">
        <is>
          <t>CT09</t>
        </is>
      </c>
      <c r="B13" s="50" t="n"/>
      <c r="C13" s="50" t="str"/>
      <c r="D13" s="50" t="str"/>
      <c r="E13" s="50" t="str"/>
      <c r="F13" s="50" t="str"/>
      <c r="G13" s="50" t="str"/>
      <c r="H13" s="50" t="str"/>
      <c r="I13" s="50" t="str"/>
      <c r="J13" s="50" t="str"/>
      <c r="K13" s="71" t="n"/>
      <c r="L13" s="50" t="inlineStr">
        <is>
          <t>待核</t>
        </is>
      </c>
      <c r="M13" s="50" t="inlineStr">
        <is>
          <t>待核</t>
        </is>
      </c>
      <c r="N13" s="57">
        <f>IF(C13="","",IF(AND(F13&lt;&gt;"",G13&lt;&gt;"",H13&lt;&gt;"",I13&lt;&gt;"",L13="是",M13="否"),"计1项",IF(AND(H13&lt;&gt;"",I13&lt;&gt;"",L13="是",M13="否"),"中等证据","保守不计")))</f>
        <v/>
      </c>
      <c r="O13" s="57">
        <f>IF(OR(N13="计1项",N13="中等证据"),1,0)</f>
        <v/>
      </c>
      <c r="P13" s="50" t="str"/>
    </row>
    <row r="14">
      <c r="A14" s="49" t="inlineStr">
        <is>
          <t>CT10</t>
        </is>
      </c>
      <c r="B14" s="50" t="n"/>
      <c r="C14" s="50" t="str"/>
      <c r="D14" s="50" t="str"/>
      <c r="E14" s="50" t="str"/>
      <c r="F14" s="50" t="str"/>
      <c r="G14" s="50" t="str"/>
      <c r="H14" s="50" t="str"/>
      <c r="I14" s="50" t="str"/>
      <c r="J14" s="50" t="str"/>
      <c r="K14" s="71" t="n"/>
      <c r="L14" s="50" t="inlineStr">
        <is>
          <t>待核</t>
        </is>
      </c>
      <c r="M14" s="50" t="inlineStr">
        <is>
          <t>待核</t>
        </is>
      </c>
      <c r="N14" s="57">
        <f>IF(C14="","",IF(AND(F14&lt;&gt;"",G14&lt;&gt;"",H14&lt;&gt;"",I14&lt;&gt;"",L14="是",M14="否"),"计1项",IF(AND(H14&lt;&gt;"",I14&lt;&gt;"",L14="是",M14="否"),"中等证据","保守不计")))</f>
        <v/>
      </c>
      <c r="O14" s="57">
        <f>IF(OR(N14="计1项",N14="中等证据"),1,0)</f>
        <v/>
      </c>
      <c r="P14" s="50" t="str"/>
    </row>
    <row r="15">
      <c r="A15" s="49" t="inlineStr">
        <is>
          <t>CT11</t>
        </is>
      </c>
      <c r="B15" s="50" t="n"/>
      <c r="C15" s="50" t="str"/>
      <c r="D15" s="50" t="str"/>
      <c r="E15" s="50" t="str"/>
      <c r="F15" s="50" t="str"/>
      <c r="G15" s="50" t="str"/>
      <c r="H15" s="50" t="str"/>
      <c r="I15" s="50" t="str"/>
      <c r="J15" s="50" t="str"/>
      <c r="K15" s="71" t="n"/>
      <c r="L15" s="50" t="inlineStr">
        <is>
          <t>待核</t>
        </is>
      </c>
      <c r="M15" s="50" t="inlineStr">
        <is>
          <t>待核</t>
        </is>
      </c>
      <c r="N15" s="57">
        <f>IF(C15="","",IF(AND(F15&lt;&gt;"",G15&lt;&gt;"",H15&lt;&gt;"",I15&lt;&gt;"",L15="是",M15="否"),"计1项",IF(AND(H15&lt;&gt;"",I15&lt;&gt;"",L15="是",M15="否"),"中等证据","保守不计")))</f>
        <v/>
      </c>
      <c r="O15" s="57">
        <f>IF(OR(N15="计1项",N15="中等证据"),1,0)</f>
        <v/>
      </c>
      <c r="P15" s="50" t="str"/>
    </row>
    <row r="16">
      <c r="A16" s="49" t="inlineStr">
        <is>
          <t>CT12</t>
        </is>
      </c>
      <c r="B16" s="50" t="n"/>
      <c r="C16" s="50" t="str"/>
      <c r="D16" s="50" t="str"/>
      <c r="E16" s="50" t="str"/>
      <c r="F16" s="50" t="str"/>
      <c r="G16" s="50" t="str"/>
      <c r="H16" s="50" t="str"/>
      <c r="I16" s="50" t="str"/>
      <c r="J16" s="50" t="str"/>
      <c r="K16" s="71" t="n"/>
      <c r="L16" s="50" t="inlineStr">
        <is>
          <t>待核</t>
        </is>
      </c>
      <c r="M16" s="50" t="inlineStr">
        <is>
          <t>待核</t>
        </is>
      </c>
      <c r="N16" s="57">
        <f>IF(C16="","",IF(AND(F16&lt;&gt;"",G16&lt;&gt;"",H16&lt;&gt;"",I16&lt;&gt;"",L16="是",M16="否"),"计1项",IF(AND(H16&lt;&gt;"",I16&lt;&gt;"",L16="是",M16="否"),"中等证据","保守不计")))</f>
        <v/>
      </c>
      <c r="O16" s="57">
        <f>IF(OR(N16="计1项",N16="中等证据"),1,0)</f>
        <v/>
      </c>
      <c r="P16" s="50" t="str"/>
    </row>
    <row r="17">
      <c r="A17" s="49" t="inlineStr">
        <is>
          <t>CT13</t>
        </is>
      </c>
      <c r="B17" s="50" t="n"/>
      <c r="C17" s="50" t="str"/>
      <c r="D17" s="50" t="str"/>
      <c r="E17" s="50" t="str"/>
      <c r="F17" s="50" t="str"/>
      <c r="G17" s="50" t="str"/>
      <c r="H17" s="50" t="str"/>
      <c r="I17" s="50" t="str"/>
      <c r="J17" s="50" t="str"/>
      <c r="K17" s="71" t="n"/>
      <c r="L17" s="50" t="inlineStr">
        <is>
          <t>待核</t>
        </is>
      </c>
      <c r="M17" s="50" t="inlineStr">
        <is>
          <t>待核</t>
        </is>
      </c>
      <c r="N17" s="57">
        <f>IF(C17="","",IF(AND(F17&lt;&gt;"",G17&lt;&gt;"",H17&lt;&gt;"",I17&lt;&gt;"",L17="是",M17="否"),"计1项",IF(AND(H17&lt;&gt;"",I17&lt;&gt;"",L17="是",M17="否"),"中等证据","保守不计")))</f>
        <v/>
      </c>
      <c r="O17" s="57">
        <f>IF(OR(N17="计1项",N17="中等证据"),1,0)</f>
        <v/>
      </c>
      <c r="P17" s="50" t="str"/>
    </row>
    <row r="18">
      <c r="A18" s="49" t="inlineStr">
        <is>
          <t>CT14</t>
        </is>
      </c>
      <c r="B18" s="50" t="n"/>
      <c r="C18" s="50" t="str"/>
      <c r="D18" s="50" t="str"/>
      <c r="E18" s="50" t="str"/>
      <c r="F18" s="50" t="str"/>
      <c r="G18" s="50" t="str"/>
      <c r="H18" s="50" t="str"/>
      <c r="I18" s="50" t="str"/>
      <c r="J18" s="50" t="str"/>
      <c r="K18" s="71" t="n"/>
      <c r="L18" s="50" t="inlineStr">
        <is>
          <t>待核</t>
        </is>
      </c>
      <c r="M18" s="50" t="inlineStr">
        <is>
          <t>待核</t>
        </is>
      </c>
      <c r="N18" s="57">
        <f>IF(C18="","",IF(AND(F18&lt;&gt;"",G18&lt;&gt;"",H18&lt;&gt;"",I18&lt;&gt;"",L18="是",M18="否"),"计1项",IF(AND(H18&lt;&gt;"",I18&lt;&gt;"",L18="是",M18="否"),"中等证据","保守不计")))</f>
        <v/>
      </c>
      <c r="O18" s="57">
        <f>IF(OR(N18="计1项",N18="中等证据"),1,0)</f>
        <v/>
      </c>
      <c r="P18" s="50" t="str"/>
    </row>
    <row r="19">
      <c r="A19" s="49" t="inlineStr">
        <is>
          <t>CT15</t>
        </is>
      </c>
      <c r="B19" s="50" t="n"/>
      <c r="C19" s="50" t="str"/>
      <c r="D19" s="50" t="str"/>
      <c r="E19" s="50" t="str"/>
      <c r="F19" s="50" t="str"/>
      <c r="G19" s="50" t="str"/>
      <c r="H19" s="50" t="str"/>
      <c r="I19" s="50" t="str"/>
      <c r="J19" s="50" t="str"/>
      <c r="K19" s="71" t="n"/>
      <c r="L19" s="50" t="inlineStr">
        <is>
          <t>待核</t>
        </is>
      </c>
      <c r="M19" s="50" t="inlineStr">
        <is>
          <t>待核</t>
        </is>
      </c>
      <c r="N19" s="57">
        <f>IF(C19="","",IF(AND(F19&lt;&gt;"",G19&lt;&gt;"",H19&lt;&gt;"",I19&lt;&gt;"",L19="是",M19="否"),"计1项",IF(AND(H19&lt;&gt;"",I19&lt;&gt;"",L19="是",M19="否"),"中等证据","保守不计")))</f>
        <v/>
      </c>
      <c r="O19" s="57">
        <f>IF(OR(N19="计1项",N19="中等证据"),1,0)</f>
        <v/>
      </c>
      <c r="P19" s="50" t="str"/>
    </row>
    <row r="20">
      <c r="A20" s="49" t="inlineStr">
        <is>
          <t>CT16</t>
        </is>
      </c>
      <c r="B20" s="50" t="n"/>
      <c r="C20" s="50" t="str"/>
      <c r="D20" s="50" t="str"/>
      <c r="E20" s="50" t="str"/>
      <c r="F20" s="50" t="str"/>
      <c r="G20" s="50" t="str"/>
      <c r="H20" s="50" t="str"/>
      <c r="I20" s="50" t="str"/>
      <c r="J20" s="50" t="str"/>
      <c r="K20" s="71" t="n"/>
      <c r="L20" s="50" t="inlineStr">
        <is>
          <t>待核</t>
        </is>
      </c>
      <c r="M20" s="50" t="inlineStr">
        <is>
          <t>待核</t>
        </is>
      </c>
      <c r="N20" s="57">
        <f>IF(C20="","",IF(AND(F20&lt;&gt;"",G20&lt;&gt;"",H20&lt;&gt;"",I20&lt;&gt;"",L20="是",M20="否"),"计1项",IF(AND(H20&lt;&gt;"",I20&lt;&gt;"",L20="是",M20="否"),"中等证据","保守不计")))</f>
        <v/>
      </c>
      <c r="O20" s="57">
        <f>IF(OR(N20="计1项",N20="中等证据"),1,0)</f>
        <v/>
      </c>
      <c r="P20" s="50" t="str"/>
    </row>
    <row r="21">
      <c r="A21" s="49" t="inlineStr">
        <is>
          <t>CT17</t>
        </is>
      </c>
      <c r="B21" s="50" t="n"/>
      <c r="C21" s="50" t="str"/>
      <c r="D21" s="50" t="str"/>
      <c r="E21" s="50" t="str"/>
      <c r="F21" s="50" t="str"/>
      <c r="G21" s="50" t="str"/>
      <c r="H21" s="50" t="str"/>
      <c r="I21" s="50" t="str"/>
      <c r="J21" s="50" t="str"/>
      <c r="K21" s="71" t="n"/>
      <c r="L21" s="50" t="inlineStr">
        <is>
          <t>待核</t>
        </is>
      </c>
      <c r="M21" s="50" t="inlineStr">
        <is>
          <t>待核</t>
        </is>
      </c>
      <c r="N21" s="57">
        <f>IF(C21="","",IF(AND(F21&lt;&gt;"",G21&lt;&gt;"",H21&lt;&gt;"",I21&lt;&gt;"",L21="是",M21="否"),"计1项",IF(AND(H21&lt;&gt;"",I21&lt;&gt;"",L21="是",M21="否"),"中等证据","保守不计")))</f>
        <v/>
      </c>
      <c r="O21" s="57">
        <f>IF(OR(N21="计1项",N21="中等证据"),1,0)</f>
        <v/>
      </c>
      <c r="P21" s="50" t="str"/>
    </row>
    <row r="22">
      <c r="A22" s="49" t="inlineStr">
        <is>
          <t>CT18</t>
        </is>
      </c>
      <c r="B22" s="50" t="n"/>
      <c r="C22" s="50" t="str"/>
      <c r="D22" s="50" t="str"/>
      <c r="E22" s="50" t="str"/>
      <c r="F22" s="50" t="str"/>
      <c r="G22" s="50" t="str"/>
      <c r="H22" s="50" t="str"/>
      <c r="I22" s="50" t="str"/>
      <c r="J22" s="50" t="str"/>
      <c r="K22" s="71" t="n"/>
      <c r="L22" s="50" t="inlineStr">
        <is>
          <t>待核</t>
        </is>
      </c>
      <c r="M22" s="50" t="inlineStr">
        <is>
          <t>待核</t>
        </is>
      </c>
      <c r="N22" s="57">
        <f>IF(C22="","",IF(AND(F22&lt;&gt;"",G22&lt;&gt;"",H22&lt;&gt;"",I22&lt;&gt;"",L22="是",M22="否"),"计1项",IF(AND(H22&lt;&gt;"",I22&lt;&gt;"",L22="是",M22="否"),"中等证据","保守不计")))</f>
        <v/>
      </c>
      <c r="O22" s="57">
        <f>IF(OR(N22="计1项",N22="中等证据"),1,0)</f>
        <v/>
      </c>
      <c r="P22" s="50" t="str"/>
    </row>
    <row r="23">
      <c r="A23" s="49" t="inlineStr">
        <is>
          <t>CT19</t>
        </is>
      </c>
      <c r="B23" s="50" t="n"/>
      <c r="C23" s="50" t="str"/>
      <c r="D23" s="50" t="str"/>
      <c r="E23" s="50" t="str"/>
      <c r="F23" s="50" t="str"/>
      <c r="G23" s="50" t="str"/>
      <c r="H23" s="50" t="str"/>
      <c r="I23" s="50" t="str"/>
      <c r="J23" s="50" t="str"/>
      <c r="K23" s="71" t="n"/>
      <c r="L23" s="50" t="inlineStr">
        <is>
          <t>待核</t>
        </is>
      </c>
      <c r="M23" s="50" t="inlineStr">
        <is>
          <t>待核</t>
        </is>
      </c>
      <c r="N23" s="57">
        <f>IF(C23="","",IF(AND(F23&lt;&gt;"",G23&lt;&gt;"",H23&lt;&gt;"",I23&lt;&gt;"",L23="是",M23="否"),"计1项",IF(AND(H23&lt;&gt;"",I23&lt;&gt;"",L23="是",M23="否"),"中等证据","保守不计")))</f>
        <v/>
      </c>
      <c r="O23" s="57">
        <f>IF(OR(N23="计1项",N23="中等证据"),1,0)</f>
        <v/>
      </c>
      <c r="P23" s="50" t="str"/>
    </row>
    <row r="24">
      <c r="A24" s="49" t="inlineStr">
        <is>
          <t>CT20</t>
        </is>
      </c>
      <c r="B24" s="50" t="n"/>
      <c r="C24" s="50" t="str"/>
      <c r="D24" s="50" t="str"/>
      <c r="E24" s="50" t="str"/>
      <c r="F24" s="50" t="str"/>
      <c r="G24" s="50" t="str"/>
      <c r="H24" s="50" t="str"/>
      <c r="I24" s="50" t="str"/>
      <c r="J24" s="50" t="str"/>
      <c r="K24" s="71" t="n"/>
      <c r="L24" s="50" t="inlineStr">
        <is>
          <t>待核</t>
        </is>
      </c>
      <c r="M24" s="50" t="inlineStr">
        <is>
          <t>待核</t>
        </is>
      </c>
      <c r="N24" s="57">
        <f>IF(C24="","",IF(AND(F24&lt;&gt;"",G24&lt;&gt;"",H24&lt;&gt;"",I24&lt;&gt;"",L24="是",M24="否"),"计1项",IF(AND(H24&lt;&gt;"",I24&lt;&gt;"",L24="是",M24="否"),"中等证据","保守不计")))</f>
        <v/>
      </c>
      <c r="O24" s="57">
        <f>IF(OR(N24="计1项",N24="中等证据"),1,0)</f>
        <v/>
      </c>
      <c r="P24" s="50" t="str"/>
    </row>
    <row r="25">
      <c r="A25" s="49" t="inlineStr">
        <is>
          <t>CT21</t>
        </is>
      </c>
      <c r="B25" s="50" t="n"/>
      <c r="C25" s="50" t="str"/>
      <c r="D25" s="50" t="str"/>
      <c r="E25" s="50" t="str"/>
      <c r="F25" s="50" t="str"/>
      <c r="G25" s="50" t="str"/>
      <c r="H25" s="50" t="str"/>
      <c r="I25" s="50" t="str"/>
      <c r="J25" s="50" t="str"/>
      <c r="K25" s="71" t="n"/>
      <c r="L25" s="50" t="inlineStr">
        <is>
          <t>待核</t>
        </is>
      </c>
      <c r="M25" s="50" t="inlineStr">
        <is>
          <t>待核</t>
        </is>
      </c>
      <c r="N25" s="57">
        <f>IF(C25="","",IF(AND(F25&lt;&gt;"",G25&lt;&gt;"",H25&lt;&gt;"",I25&lt;&gt;"",L25="是",M25="否"),"计1项",IF(AND(H25&lt;&gt;"",I25&lt;&gt;"",L25="是",M25="否"),"中等证据","保守不计")))</f>
        <v/>
      </c>
      <c r="O25" s="57">
        <f>IF(OR(N25="计1项",N25="中等证据"),1,0)</f>
        <v/>
      </c>
      <c r="P25" s="50" t="str"/>
    </row>
    <row r="26">
      <c r="A26" s="49" t="inlineStr">
        <is>
          <t>CT22</t>
        </is>
      </c>
      <c r="B26" s="50" t="n"/>
      <c r="C26" s="50" t="str"/>
      <c r="D26" s="50" t="str"/>
      <c r="E26" s="50" t="str"/>
      <c r="F26" s="50" t="str"/>
      <c r="G26" s="50" t="str"/>
      <c r="H26" s="50" t="str"/>
      <c r="I26" s="50" t="str"/>
      <c r="J26" s="50" t="str"/>
      <c r="K26" s="71" t="n"/>
      <c r="L26" s="50" t="inlineStr">
        <is>
          <t>待核</t>
        </is>
      </c>
      <c r="M26" s="50" t="inlineStr">
        <is>
          <t>待核</t>
        </is>
      </c>
      <c r="N26" s="57">
        <f>IF(C26="","",IF(AND(F26&lt;&gt;"",G26&lt;&gt;"",H26&lt;&gt;"",I26&lt;&gt;"",L26="是",M26="否"),"计1项",IF(AND(H26&lt;&gt;"",I26&lt;&gt;"",L26="是",M26="否"),"中等证据","保守不计")))</f>
        <v/>
      </c>
      <c r="O26" s="57">
        <f>IF(OR(N26="计1项",N26="中等证据"),1,0)</f>
        <v/>
      </c>
      <c r="P26" s="50" t="str"/>
    </row>
    <row r="27">
      <c r="A27" s="49" t="inlineStr">
        <is>
          <t>CT23</t>
        </is>
      </c>
      <c r="B27" s="50" t="n"/>
      <c r="C27" s="50" t="str"/>
      <c r="D27" s="50" t="str"/>
      <c r="E27" s="50" t="str"/>
      <c r="F27" s="50" t="str"/>
      <c r="G27" s="50" t="str"/>
      <c r="H27" s="50" t="str"/>
      <c r="I27" s="50" t="str"/>
      <c r="J27" s="50" t="str"/>
      <c r="K27" s="71" t="n"/>
      <c r="L27" s="50" t="inlineStr">
        <is>
          <t>待核</t>
        </is>
      </c>
      <c r="M27" s="50" t="inlineStr">
        <is>
          <t>待核</t>
        </is>
      </c>
      <c r="N27" s="57">
        <f>IF(C27="","",IF(AND(F27&lt;&gt;"",G27&lt;&gt;"",H27&lt;&gt;"",I27&lt;&gt;"",L27="是",M27="否"),"计1项",IF(AND(H27&lt;&gt;"",I27&lt;&gt;"",L27="是",M27="否"),"中等证据","保守不计")))</f>
        <v/>
      </c>
      <c r="O27" s="57">
        <f>IF(OR(N27="计1项",N27="中等证据"),1,0)</f>
        <v/>
      </c>
      <c r="P27" s="50" t="str"/>
    </row>
    <row r="28">
      <c r="A28" s="49" t="inlineStr">
        <is>
          <t>CT24</t>
        </is>
      </c>
      <c r="B28" s="50" t="n"/>
      <c r="C28" s="50" t="str"/>
      <c r="D28" s="50" t="str"/>
      <c r="E28" s="50" t="str"/>
      <c r="F28" s="50" t="str"/>
      <c r="G28" s="50" t="str"/>
      <c r="H28" s="50" t="str"/>
      <c r="I28" s="50" t="str"/>
      <c r="J28" s="50" t="str"/>
      <c r="K28" s="71" t="n"/>
      <c r="L28" s="50" t="inlineStr">
        <is>
          <t>待核</t>
        </is>
      </c>
      <c r="M28" s="50" t="inlineStr">
        <is>
          <t>待核</t>
        </is>
      </c>
      <c r="N28" s="57">
        <f>IF(C28="","",IF(AND(F28&lt;&gt;"",G28&lt;&gt;"",H28&lt;&gt;"",I28&lt;&gt;"",L28="是",M28="否"),"计1项",IF(AND(H28&lt;&gt;"",I28&lt;&gt;"",L28="是",M28="否"),"中等证据","保守不计")))</f>
        <v/>
      </c>
      <c r="O28" s="57">
        <f>IF(OR(N28="计1项",N28="中等证据"),1,0)</f>
        <v/>
      </c>
      <c r="P28" s="50" t="str"/>
    </row>
    <row r="29">
      <c r="A29" s="49" t="inlineStr">
        <is>
          <t>CT25</t>
        </is>
      </c>
      <c r="B29" s="50" t="n"/>
      <c r="C29" s="50" t="str"/>
      <c r="D29" s="50" t="str"/>
      <c r="E29" s="50" t="str"/>
      <c r="F29" s="50" t="str"/>
      <c r="G29" s="50" t="str"/>
      <c r="H29" s="50" t="str"/>
      <c r="I29" s="50" t="str"/>
      <c r="J29" s="50" t="str"/>
      <c r="K29" s="71" t="n"/>
      <c r="L29" s="50" t="inlineStr">
        <is>
          <t>待核</t>
        </is>
      </c>
      <c r="M29" s="50" t="inlineStr">
        <is>
          <t>待核</t>
        </is>
      </c>
      <c r="N29" s="57">
        <f>IF(C29="","",IF(AND(F29&lt;&gt;"",G29&lt;&gt;"",H29&lt;&gt;"",I29&lt;&gt;"",L29="是",M29="否"),"计1项",IF(AND(H29&lt;&gt;"",I29&lt;&gt;"",L29="是",M29="否"),"中等证据","保守不计")))</f>
        <v/>
      </c>
      <c r="O29" s="57">
        <f>IF(OR(N29="计1项",N29="中等证据"),1,0)</f>
        <v/>
      </c>
      <c r="P29" s="50" t="str"/>
    </row>
    <row r="30">
      <c r="A30" s="49" t="inlineStr">
        <is>
          <t>CT26</t>
        </is>
      </c>
      <c r="B30" s="50" t="n"/>
      <c r="C30" s="50" t="str"/>
      <c r="D30" s="50" t="str"/>
      <c r="E30" s="50" t="str"/>
      <c r="F30" s="50" t="str"/>
      <c r="G30" s="50" t="str"/>
      <c r="H30" s="50" t="str"/>
      <c r="I30" s="50" t="str"/>
      <c r="J30" s="50" t="str"/>
      <c r="K30" s="71" t="n"/>
      <c r="L30" s="50" t="inlineStr">
        <is>
          <t>待核</t>
        </is>
      </c>
      <c r="M30" s="50" t="inlineStr">
        <is>
          <t>待核</t>
        </is>
      </c>
      <c r="N30" s="57">
        <f>IF(C30="","",IF(AND(F30&lt;&gt;"",G30&lt;&gt;"",H30&lt;&gt;"",I30&lt;&gt;"",L30="是",M30="否"),"计1项",IF(AND(H30&lt;&gt;"",I30&lt;&gt;"",L30="是",M30="否"),"中等证据","保守不计")))</f>
        <v/>
      </c>
      <c r="O30" s="57">
        <f>IF(OR(N30="计1项",N30="中等证据"),1,0)</f>
        <v/>
      </c>
      <c r="P30" s="50" t="str"/>
    </row>
    <row r="31">
      <c r="A31" s="49" t="inlineStr">
        <is>
          <t>CT27</t>
        </is>
      </c>
      <c r="B31" s="50" t="n"/>
      <c r="C31" s="50" t="str"/>
      <c r="D31" s="50" t="str"/>
      <c r="E31" s="50" t="str"/>
      <c r="F31" s="50" t="str"/>
      <c r="G31" s="50" t="str"/>
      <c r="H31" s="50" t="str"/>
      <c r="I31" s="50" t="str"/>
      <c r="J31" s="50" t="str"/>
      <c r="K31" s="71" t="n"/>
      <c r="L31" s="50" t="inlineStr">
        <is>
          <t>待核</t>
        </is>
      </c>
      <c r="M31" s="50" t="inlineStr">
        <is>
          <t>待核</t>
        </is>
      </c>
      <c r="N31" s="57">
        <f>IF(C31="","",IF(AND(F31&lt;&gt;"",G31&lt;&gt;"",H31&lt;&gt;"",I31&lt;&gt;"",L31="是",M31="否"),"计1项",IF(AND(H31&lt;&gt;"",I31&lt;&gt;"",L31="是",M31="否"),"中等证据","保守不计")))</f>
        <v/>
      </c>
      <c r="O31" s="57">
        <f>IF(OR(N31="计1项",N31="中等证据"),1,0)</f>
        <v/>
      </c>
      <c r="P31" s="50" t="str"/>
    </row>
    <row r="32">
      <c r="A32" s="49" t="inlineStr">
        <is>
          <t>CT28</t>
        </is>
      </c>
      <c r="B32" s="50" t="n"/>
      <c r="C32" s="50" t="str"/>
      <c r="D32" s="50" t="str"/>
      <c r="E32" s="50" t="str"/>
      <c r="F32" s="50" t="str"/>
      <c r="G32" s="50" t="str"/>
      <c r="H32" s="50" t="str"/>
      <c r="I32" s="50" t="str"/>
      <c r="J32" s="50" t="str"/>
      <c r="K32" s="71" t="n"/>
      <c r="L32" s="50" t="inlineStr">
        <is>
          <t>待核</t>
        </is>
      </c>
      <c r="M32" s="50" t="inlineStr">
        <is>
          <t>待核</t>
        </is>
      </c>
      <c r="N32" s="57">
        <f>IF(C32="","",IF(AND(F32&lt;&gt;"",G32&lt;&gt;"",H32&lt;&gt;"",I32&lt;&gt;"",L32="是",M32="否"),"计1项",IF(AND(H32&lt;&gt;"",I32&lt;&gt;"",L32="是",M32="否"),"中等证据","保守不计")))</f>
        <v/>
      </c>
      <c r="O32" s="57">
        <f>IF(OR(N32="计1项",N32="中等证据"),1,0)</f>
        <v/>
      </c>
      <c r="P32" s="50" t="str"/>
    </row>
    <row r="33">
      <c r="A33" s="49" t="inlineStr">
        <is>
          <t>CT29</t>
        </is>
      </c>
      <c r="B33" s="50" t="n"/>
      <c r="C33" s="50" t="str"/>
      <c r="D33" s="50" t="str"/>
      <c r="E33" s="50" t="str"/>
      <c r="F33" s="50" t="str"/>
      <c r="G33" s="50" t="str"/>
      <c r="H33" s="50" t="str"/>
      <c r="I33" s="50" t="str"/>
      <c r="J33" s="50" t="str"/>
      <c r="K33" s="71" t="n"/>
      <c r="L33" s="50" t="inlineStr">
        <is>
          <t>待核</t>
        </is>
      </c>
      <c r="M33" s="50" t="inlineStr">
        <is>
          <t>待核</t>
        </is>
      </c>
      <c r="N33" s="57">
        <f>IF(C33="","",IF(AND(F33&lt;&gt;"",G33&lt;&gt;"",H33&lt;&gt;"",I33&lt;&gt;"",L33="是",M33="否"),"计1项",IF(AND(H33&lt;&gt;"",I33&lt;&gt;"",L33="是",M33="否"),"中等证据","保守不计")))</f>
        <v/>
      </c>
      <c r="O33" s="57">
        <f>IF(OR(N33="计1项",N33="中等证据"),1,0)</f>
        <v/>
      </c>
      <c r="P33" s="50" t="str"/>
    </row>
    <row r="34">
      <c r="A34" s="49" t="inlineStr">
        <is>
          <t>CT30</t>
        </is>
      </c>
      <c r="B34" s="50" t="n"/>
      <c r="C34" s="50" t="str"/>
      <c r="D34" s="50" t="str"/>
      <c r="E34" s="50" t="str"/>
      <c r="F34" s="50" t="str"/>
      <c r="G34" s="50" t="str"/>
      <c r="H34" s="50" t="str"/>
      <c r="I34" s="50" t="str"/>
      <c r="J34" s="50" t="str"/>
      <c r="K34" s="71" t="n"/>
      <c r="L34" s="50" t="inlineStr">
        <is>
          <t>待核</t>
        </is>
      </c>
      <c r="M34" s="50" t="inlineStr">
        <is>
          <t>待核</t>
        </is>
      </c>
      <c r="N34" s="57">
        <f>IF(C34="","",IF(AND(F34&lt;&gt;"",G34&lt;&gt;"",H34&lt;&gt;"",I34&lt;&gt;"",L34="是",M34="否"),"计1项",IF(AND(H34&lt;&gt;"",I34&lt;&gt;"",L34="是",M34="否"),"中等证据","保守不计")))</f>
        <v/>
      </c>
      <c r="O34" s="57">
        <f>IF(OR(N34="计1项",N34="中等证据"),1,0)</f>
        <v/>
      </c>
      <c r="P34" s="50" t="str"/>
    </row>
    <row r="35">
      <c r="A35" s="49" t="inlineStr">
        <is>
          <t>CT31</t>
        </is>
      </c>
      <c r="B35" s="50" t="n"/>
      <c r="C35" s="50" t="str"/>
      <c r="D35" s="50" t="str"/>
      <c r="E35" s="50" t="str"/>
      <c r="F35" s="50" t="str"/>
      <c r="G35" s="50" t="str"/>
      <c r="H35" s="50" t="str"/>
      <c r="I35" s="50" t="str"/>
      <c r="J35" s="50" t="str"/>
      <c r="K35" s="71" t="n"/>
      <c r="L35" s="50" t="inlineStr">
        <is>
          <t>待核</t>
        </is>
      </c>
      <c r="M35" s="50" t="inlineStr">
        <is>
          <t>待核</t>
        </is>
      </c>
      <c r="N35" s="57">
        <f>IF(C35="","",IF(AND(F35&lt;&gt;"",G35&lt;&gt;"",H35&lt;&gt;"",I35&lt;&gt;"",L35="是",M35="否"),"计1项",IF(AND(H35&lt;&gt;"",I35&lt;&gt;"",L35="是",M35="否"),"中等证据","保守不计")))</f>
        <v/>
      </c>
      <c r="O35" s="57">
        <f>IF(OR(N35="计1项",N35="中等证据"),1,0)</f>
        <v/>
      </c>
      <c r="P35" s="50" t="str"/>
    </row>
    <row r="36">
      <c r="A36" s="49" t="inlineStr">
        <is>
          <t>CT32</t>
        </is>
      </c>
      <c r="B36" s="50" t="n"/>
      <c r="C36" s="50" t="str"/>
      <c r="D36" s="50" t="str"/>
      <c r="E36" s="50" t="str"/>
      <c r="F36" s="50" t="str"/>
      <c r="G36" s="50" t="str"/>
      <c r="H36" s="50" t="str"/>
      <c r="I36" s="50" t="str"/>
      <c r="J36" s="50" t="str"/>
      <c r="K36" s="71" t="n"/>
      <c r="L36" s="50" t="inlineStr">
        <is>
          <t>待核</t>
        </is>
      </c>
      <c r="M36" s="50" t="inlineStr">
        <is>
          <t>待核</t>
        </is>
      </c>
      <c r="N36" s="57">
        <f>IF(C36="","",IF(AND(F36&lt;&gt;"",G36&lt;&gt;"",H36&lt;&gt;"",I36&lt;&gt;"",L36="是",M36="否"),"计1项",IF(AND(H36&lt;&gt;"",I36&lt;&gt;"",L36="是",M36="否"),"中等证据","保守不计")))</f>
        <v/>
      </c>
      <c r="O36" s="57">
        <f>IF(OR(N36="计1项",N36="中等证据"),1,0)</f>
        <v/>
      </c>
      <c r="P36" s="50" t="str"/>
    </row>
    <row r="37">
      <c r="A37" s="49" t="inlineStr">
        <is>
          <t>CT33</t>
        </is>
      </c>
      <c r="B37" s="50" t="n"/>
      <c r="C37" s="50" t="str"/>
      <c r="D37" s="50" t="str"/>
      <c r="E37" s="50" t="str"/>
      <c r="F37" s="50" t="str"/>
      <c r="G37" s="50" t="str"/>
      <c r="H37" s="50" t="str"/>
      <c r="I37" s="50" t="str"/>
      <c r="J37" s="50" t="str"/>
      <c r="K37" s="71" t="n"/>
      <c r="L37" s="50" t="inlineStr">
        <is>
          <t>待核</t>
        </is>
      </c>
      <c r="M37" s="50" t="inlineStr">
        <is>
          <t>待核</t>
        </is>
      </c>
      <c r="N37" s="57">
        <f>IF(C37="","",IF(AND(F37&lt;&gt;"",G37&lt;&gt;"",H37&lt;&gt;"",I37&lt;&gt;"",L37="是",M37="否"),"计1项",IF(AND(H37&lt;&gt;"",I37&lt;&gt;"",L37="是",M37="否"),"中等证据","保守不计")))</f>
        <v/>
      </c>
      <c r="O37" s="57">
        <f>IF(OR(N37="计1项",N37="中等证据"),1,0)</f>
        <v/>
      </c>
      <c r="P37" s="50" t="str"/>
    </row>
    <row r="38">
      <c r="A38" s="49" t="inlineStr">
        <is>
          <t>CT34</t>
        </is>
      </c>
      <c r="B38" s="50" t="n"/>
      <c r="C38" s="50" t="str"/>
      <c r="D38" s="50" t="str"/>
      <c r="E38" s="50" t="str"/>
      <c r="F38" s="50" t="str"/>
      <c r="G38" s="50" t="str"/>
      <c r="H38" s="50" t="str"/>
      <c r="I38" s="50" t="str"/>
      <c r="J38" s="50" t="str"/>
      <c r="K38" s="71" t="n"/>
      <c r="L38" s="50" t="inlineStr">
        <is>
          <t>待核</t>
        </is>
      </c>
      <c r="M38" s="50" t="inlineStr">
        <is>
          <t>待核</t>
        </is>
      </c>
      <c r="N38" s="57">
        <f>IF(C38="","",IF(AND(F38&lt;&gt;"",G38&lt;&gt;"",H38&lt;&gt;"",I38&lt;&gt;"",L38="是",M38="否"),"计1项",IF(AND(H38&lt;&gt;"",I38&lt;&gt;"",L38="是",M38="否"),"中等证据","保守不计")))</f>
        <v/>
      </c>
      <c r="O38" s="57">
        <f>IF(OR(N38="计1项",N38="中等证据"),1,0)</f>
        <v/>
      </c>
      <c r="P38" s="50" t="str"/>
    </row>
    <row r="39">
      <c r="A39" s="49" t="inlineStr">
        <is>
          <t>CT35</t>
        </is>
      </c>
      <c r="B39" s="50" t="n"/>
      <c r="C39" s="50" t="str"/>
      <c r="D39" s="50" t="str"/>
      <c r="E39" s="50" t="str"/>
      <c r="F39" s="50" t="str"/>
      <c r="G39" s="50" t="str"/>
      <c r="H39" s="50" t="str"/>
      <c r="I39" s="50" t="str"/>
      <c r="J39" s="50" t="str"/>
      <c r="K39" s="71" t="n"/>
      <c r="L39" s="50" t="inlineStr">
        <is>
          <t>待核</t>
        </is>
      </c>
      <c r="M39" s="50" t="inlineStr">
        <is>
          <t>待核</t>
        </is>
      </c>
      <c r="N39" s="57">
        <f>IF(C39="","",IF(AND(F39&lt;&gt;"",G39&lt;&gt;"",H39&lt;&gt;"",I39&lt;&gt;"",L39="是",M39="否"),"计1项",IF(AND(H39&lt;&gt;"",I39&lt;&gt;"",L39="是",M39="否"),"中等证据","保守不计")))</f>
        <v/>
      </c>
      <c r="O39" s="57">
        <f>IF(OR(N39="计1项",N39="中等证据"),1,0)</f>
        <v/>
      </c>
      <c r="P39" s="50" t="str"/>
    </row>
    <row r="40">
      <c r="A40" s="49" t="inlineStr">
        <is>
          <t>CT36</t>
        </is>
      </c>
      <c r="B40" s="50" t="n"/>
      <c r="C40" s="50" t="str"/>
      <c r="D40" s="50" t="str"/>
      <c r="E40" s="50" t="str"/>
      <c r="F40" s="50" t="str"/>
      <c r="G40" s="50" t="str"/>
      <c r="H40" s="50" t="str"/>
      <c r="I40" s="50" t="str"/>
      <c r="J40" s="50" t="str"/>
      <c r="K40" s="71" t="n"/>
      <c r="L40" s="50" t="inlineStr">
        <is>
          <t>待核</t>
        </is>
      </c>
      <c r="M40" s="50" t="inlineStr">
        <is>
          <t>待核</t>
        </is>
      </c>
      <c r="N40" s="57">
        <f>IF(C40="","",IF(AND(F40&lt;&gt;"",G40&lt;&gt;"",H40&lt;&gt;"",I40&lt;&gt;"",L40="是",M40="否"),"计1项",IF(AND(H40&lt;&gt;"",I40&lt;&gt;"",L40="是",M40="否"),"中等证据","保守不计")))</f>
        <v/>
      </c>
      <c r="O40" s="57">
        <f>IF(OR(N40="计1项",N40="中等证据"),1,0)</f>
        <v/>
      </c>
      <c r="P40" s="50" t="str"/>
    </row>
    <row r="41">
      <c r="A41" s="49" t="inlineStr">
        <is>
          <t>CT37</t>
        </is>
      </c>
      <c r="B41" s="50" t="n"/>
      <c r="C41" s="50" t="str"/>
      <c r="D41" s="50" t="str"/>
      <c r="E41" s="50" t="str"/>
      <c r="F41" s="50" t="str"/>
      <c r="G41" s="50" t="str"/>
      <c r="H41" s="50" t="str"/>
      <c r="I41" s="50" t="str"/>
      <c r="J41" s="50" t="str"/>
      <c r="K41" s="71" t="n"/>
      <c r="L41" s="50" t="inlineStr">
        <is>
          <t>待核</t>
        </is>
      </c>
      <c r="M41" s="50" t="inlineStr">
        <is>
          <t>待核</t>
        </is>
      </c>
      <c r="N41" s="57">
        <f>IF(C41="","",IF(AND(F41&lt;&gt;"",G41&lt;&gt;"",H41&lt;&gt;"",I41&lt;&gt;"",L41="是",M41="否"),"计1项",IF(AND(H41&lt;&gt;"",I41&lt;&gt;"",L41="是",M41="否"),"中等证据","保守不计")))</f>
        <v/>
      </c>
      <c r="O41" s="57">
        <f>IF(OR(N41="计1项",N41="中等证据"),1,0)</f>
        <v/>
      </c>
      <c r="P41" s="50" t="str"/>
    </row>
    <row r="42">
      <c r="A42" s="49" t="inlineStr">
        <is>
          <t>CT38</t>
        </is>
      </c>
      <c r="B42" s="50" t="n"/>
      <c r="C42" s="50" t="str"/>
      <c r="D42" s="50" t="str"/>
      <c r="E42" s="50" t="str"/>
      <c r="F42" s="50" t="str"/>
      <c r="G42" s="50" t="str"/>
      <c r="H42" s="50" t="str"/>
      <c r="I42" s="50" t="str"/>
      <c r="J42" s="50" t="str"/>
      <c r="K42" s="71" t="n"/>
      <c r="L42" s="50" t="inlineStr">
        <is>
          <t>待核</t>
        </is>
      </c>
      <c r="M42" s="50" t="inlineStr">
        <is>
          <t>待核</t>
        </is>
      </c>
      <c r="N42" s="57">
        <f>IF(C42="","",IF(AND(F42&lt;&gt;"",G42&lt;&gt;"",H42&lt;&gt;"",I42&lt;&gt;"",L42="是",M42="否"),"计1项",IF(AND(H42&lt;&gt;"",I42&lt;&gt;"",L42="是",M42="否"),"中等证据","保守不计")))</f>
        <v/>
      </c>
      <c r="O42" s="57">
        <f>IF(OR(N42="计1项",N42="中等证据"),1,0)</f>
        <v/>
      </c>
      <c r="P42" s="50" t="str"/>
    </row>
    <row r="43">
      <c r="A43" s="49" t="inlineStr">
        <is>
          <t>CT39</t>
        </is>
      </c>
      <c r="B43" s="50" t="n"/>
      <c r="C43" s="50" t="str"/>
      <c r="D43" s="50" t="str"/>
      <c r="E43" s="50" t="str"/>
      <c r="F43" s="50" t="str"/>
      <c r="G43" s="50" t="str"/>
      <c r="H43" s="50" t="str"/>
      <c r="I43" s="50" t="str"/>
      <c r="J43" s="50" t="str"/>
      <c r="K43" s="71" t="n"/>
      <c r="L43" s="50" t="inlineStr">
        <is>
          <t>待核</t>
        </is>
      </c>
      <c r="M43" s="50" t="inlineStr">
        <is>
          <t>待核</t>
        </is>
      </c>
      <c r="N43" s="57">
        <f>IF(C43="","",IF(AND(F43&lt;&gt;"",G43&lt;&gt;"",H43&lt;&gt;"",I43&lt;&gt;"",L43="是",M43="否"),"计1项",IF(AND(H43&lt;&gt;"",I43&lt;&gt;"",L43="是",M43="否"),"中等证据","保守不计")))</f>
        <v/>
      </c>
      <c r="O43" s="57">
        <f>IF(OR(N43="计1项",N43="中等证据"),1,0)</f>
        <v/>
      </c>
      <c r="P43" s="50" t="str"/>
    </row>
    <row r="44">
      <c r="A44" s="49" t="inlineStr">
        <is>
          <t>CT40</t>
        </is>
      </c>
      <c r="B44" s="50" t="n"/>
      <c r="C44" s="50" t="str"/>
      <c r="D44" s="50" t="str"/>
      <c r="E44" s="50" t="str"/>
      <c r="F44" s="50" t="str"/>
      <c r="G44" s="50" t="str"/>
      <c r="H44" s="50" t="str"/>
      <c r="I44" s="50" t="str"/>
      <c r="J44" s="50" t="str"/>
      <c r="K44" s="71" t="n"/>
      <c r="L44" s="50" t="inlineStr">
        <is>
          <t>待核</t>
        </is>
      </c>
      <c r="M44" s="50" t="inlineStr">
        <is>
          <t>待核</t>
        </is>
      </c>
      <c r="N44" s="57">
        <f>IF(C44="","",IF(AND(F44&lt;&gt;"",G44&lt;&gt;"",H44&lt;&gt;"",I44&lt;&gt;"",L44="是",M44="否"),"计1项",IF(AND(H44&lt;&gt;"",I44&lt;&gt;"",L44="是",M44="否"),"中等证据","保守不计")))</f>
        <v/>
      </c>
      <c r="O44" s="57">
        <f>IF(OR(N44="计1项",N44="中等证据"),1,0)</f>
        <v/>
      </c>
      <c r="P44" s="50" t="str"/>
    </row>
    <row r="45">
      <c r="A45" s="49" t="inlineStr">
        <is>
          <t>CT41</t>
        </is>
      </c>
      <c r="B45" s="50" t="n"/>
      <c r="C45" s="50" t="str"/>
      <c r="D45" s="50" t="str"/>
      <c r="E45" s="50" t="str"/>
      <c r="F45" s="50" t="str"/>
      <c r="G45" s="50" t="str"/>
      <c r="H45" s="50" t="str"/>
      <c r="I45" s="50" t="str"/>
      <c r="J45" s="50" t="str"/>
      <c r="K45" s="71" t="n"/>
      <c r="L45" s="50" t="inlineStr">
        <is>
          <t>待核</t>
        </is>
      </c>
      <c r="M45" s="50" t="inlineStr">
        <is>
          <t>待核</t>
        </is>
      </c>
      <c r="N45" s="57">
        <f>IF(C45="","",IF(AND(F45&lt;&gt;"",G45&lt;&gt;"",H45&lt;&gt;"",I45&lt;&gt;"",L45="是",M45="否"),"计1项",IF(AND(H45&lt;&gt;"",I45&lt;&gt;"",L45="是",M45="否"),"中等证据","保守不计")))</f>
        <v/>
      </c>
      <c r="O45" s="57">
        <f>IF(OR(N45="计1项",N45="中等证据"),1,0)</f>
        <v/>
      </c>
      <c r="P45" s="50" t="str"/>
    </row>
    <row r="46">
      <c r="A46" s="49" t="inlineStr">
        <is>
          <t>CT42</t>
        </is>
      </c>
      <c r="B46" s="50" t="n"/>
      <c r="C46" s="50" t="str"/>
      <c r="D46" s="50" t="str"/>
      <c r="E46" s="50" t="str"/>
      <c r="F46" s="50" t="str"/>
      <c r="G46" s="50" t="str"/>
      <c r="H46" s="50" t="str"/>
      <c r="I46" s="50" t="str"/>
      <c r="J46" s="50" t="str"/>
      <c r="K46" s="71" t="n"/>
      <c r="L46" s="50" t="inlineStr">
        <is>
          <t>待核</t>
        </is>
      </c>
      <c r="M46" s="50" t="inlineStr">
        <is>
          <t>待核</t>
        </is>
      </c>
      <c r="N46" s="57">
        <f>IF(C46="","",IF(AND(F46&lt;&gt;"",G46&lt;&gt;"",H46&lt;&gt;"",I46&lt;&gt;"",L46="是",M46="否"),"计1项",IF(AND(H46&lt;&gt;"",I46&lt;&gt;"",L46="是",M46="否"),"中等证据","保守不计")))</f>
        <v/>
      </c>
      <c r="O46" s="57">
        <f>IF(OR(N46="计1项",N46="中等证据"),1,0)</f>
        <v/>
      </c>
      <c r="P46" s="50" t="str"/>
    </row>
    <row r="47">
      <c r="A47" s="49" t="inlineStr">
        <is>
          <t>CT43</t>
        </is>
      </c>
      <c r="B47" s="50" t="n"/>
      <c r="C47" s="50" t="str"/>
      <c r="D47" s="50" t="str"/>
      <c r="E47" s="50" t="str"/>
      <c r="F47" s="50" t="str"/>
      <c r="G47" s="50" t="str"/>
      <c r="H47" s="50" t="str"/>
      <c r="I47" s="50" t="str"/>
      <c r="J47" s="50" t="str"/>
      <c r="K47" s="71" t="n"/>
      <c r="L47" s="50" t="inlineStr">
        <is>
          <t>待核</t>
        </is>
      </c>
      <c r="M47" s="50" t="inlineStr">
        <is>
          <t>待核</t>
        </is>
      </c>
      <c r="N47" s="57">
        <f>IF(C47="","",IF(AND(F47&lt;&gt;"",G47&lt;&gt;"",H47&lt;&gt;"",I47&lt;&gt;"",L47="是",M47="否"),"计1项",IF(AND(H47&lt;&gt;"",I47&lt;&gt;"",L47="是",M47="否"),"中等证据","保守不计")))</f>
        <v/>
      </c>
      <c r="O47" s="57">
        <f>IF(OR(N47="计1项",N47="中等证据"),1,0)</f>
        <v/>
      </c>
      <c r="P47" s="50" t="str"/>
    </row>
    <row r="48">
      <c r="A48" s="49" t="inlineStr">
        <is>
          <t>CT44</t>
        </is>
      </c>
      <c r="B48" s="50" t="n"/>
      <c r="C48" s="50" t="str"/>
      <c r="D48" s="50" t="str"/>
      <c r="E48" s="50" t="str"/>
      <c r="F48" s="50" t="str"/>
      <c r="G48" s="50" t="str"/>
      <c r="H48" s="50" t="str"/>
      <c r="I48" s="50" t="str"/>
      <c r="J48" s="50" t="str"/>
      <c r="K48" s="71" t="n"/>
      <c r="L48" s="50" t="inlineStr">
        <is>
          <t>待核</t>
        </is>
      </c>
      <c r="M48" s="50" t="inlineStr">
        <is>
          <t>待核</t>
        </is>
      </c>
      <c r="N48" s="57">
        <f>IF(C48="","",IF(AND(F48&lt;&gt;"",G48&lt;&gt;"",H48&lt;&gt;"",I48&lt;&gt;"",L48="是",M48="否"),"计1项",IF(AND(H48&lt;&gt;"",I48&lt;&gt;"",L48="是",M48="否"),"中等证据","保守不计")))</f>
        <v/>
      </c>
      <c r="O48" s="57">
        <f>IF(OR(N48="计1项",N48="中等证据"),1,0)</f>
        <v/>
      </c>
      <c r="P48" s="50" t="str"/>
    </row>
    <row r="49">
      <c r="A49" s="49" t="inlineStr">
        <is>
          <t>CT45</t>
        </is>
      </c>
      <c r="B49" s="50" t="n"/>
      <c r="C49" s="50" t="str"/>
      <c r="D49" s="50" t="str"/>
      <c r="E49" s="50" t="str"/>
      <c r="F49" s="50" t="str"/>
      <c r="G49" s="50" t="str"/>
      <c r="H49" s="50" t="str"/>
      <c r="I49" s="50" t="str"/>
      <c r="J49" s="50" t="str"/>
      <c r="K49" s="71" t="n"/>
      <c r="L49" s="50" t="inlineStr">
        <is>
          <t>待核</t>
        </is>
      </c>
      <c r="M49" s="50" t="inlineStr">
        <is>
          <t>待核</t>
        </is>
      </c>
      <c r="N49" s="57">
        <f>IF(C49="","",IF(AND(F49&lt;&gt;"",G49&lt;&gt;"",H49&lt;&gt;"",I49&lt;&gt;"",L49="是",M49="否"),"计1项",IF(AND(H49&lt;&gt;"",I49&lt;&gt;"",L49="是",M49="否"),"中等证据","保守不计")))</f>
        <v/>
      </c>
      <c r="O49" s="57">
        <f>IF(OR(N49="计1项",N49="中等证据"),1,0)</f>
        <v/>
      </c>
      <c r="P49" s="50" t="str"/>
    </row>
    <row r="50">
      <c r="A50" s="49" t="inlineStr">
        <is>
          <t>CT46</t>
        </is>
      </c>
      <c r="B50" s="50" t="n"/>
      <c r="C50" s="50" t="str"/>
      <c r="D50" s="50" t="str"/>
      <c r="E50" s="50" t="str"/>
      <c r="F50" s="50" t="str"/>
      <c r="G50" s="50" t="str"/>
      <c r="H50" s="50" t="str"/>
      <c r="I50" s="50" t="str"/>
      <c r="J50" s="50" t="str"/>
      <c r="K50" s="71" t="n"/>
      <c r="L50" s="50" t="inlineStr">
        <is>
          <t>待核</t>
        </is>
      </c>
      <c r="M50" s="50" t="inlineStr">
        <is>
          <t>待核</t>
        </is>
      </c>
      <c r="N50" s="57">
        <f>IF(C50="","",IF(AND(F50&lt;&gt;"",G50&lt;&gt;"",H50&lt;&gt;"",I50&lt;&gt;"",L50="是",M50="否"),"计1项",IF(AND(H50&lt;&gt;"",I50&lt;&gt;"",L50="是",M50="否"),"中等证据","保守不计")))</f>
        <v/>
      </c>
      <c r="O50" s="57">
        <f>IF(OR(N50="计1项",N50="中等证据"),1,0)</f>
        <v/>
      </c>
      <c r="P50" s="50" t="str"/>
    </row>
    <row r="51">
      <c r="A51" s="49" t="inlineStr">
        <is>
          <t>CT47</t>
        </is>
      </c>
      <c r="B51" s="50" t="n"/>
      <c r="C51" s="50" t="str"/>
      <c r="D51" s="50" t="str"/>
      <c r="E51" s="50" t="str"/>
      <c r="F51" s="50" t="str"/>
      <c r="G51" s="50" t="str"/>
      <c r="H51" s="50" t="str"/>
      <c r="I51" s="50" t="str"/>
      <c r="J51" s="50" t="str"/>
      <c r="K51" s="71" t="n"/>
      <c r="L51" s="50" t="inlineStr">
        <is>
          <t>待核</t>
        </is>
      </c>
      <c r="M51" s="50" t="inlineStr">
        <is>
          <t>待核</t>
        </is>
      </c>
      <c r="N51" s="57">
        <f>IF(C51="","",IF(AND(F51&lt;&gt;"",G51&lt;&gt;"",H51&lt;&gt;"",I51&lt;&gt;"",L51="是",M51="否"),"计1项",IF(AND(H51&lt;&gt;"",I51&lt;&gt;"",L51="是",M51="否"),"中等证据","保守不计")))</f>
        <v/>
      </c>
      <c r="O51" s="57">
        <f>IF(OR(N51="计1项",N51="中等证据"),1,0)</f>
        <v/>
      </c>
      <c r="P51" s="50" t="str"/>
    </row>
    <row r="52">
      <c r="A52" s="49" t="inlineStr">
        <is>
          <t>CT48</t>
        </is>
      </c>
      <c r="B52" s="50" t="n"/>
      <c r="C52" s="50" t="str"/>
      <c r="D52" s="50" t="str"/>
      <c r="E52" s="50" t="str"/>
      <c r="F52" s="50" t="str"/>
      <c r="G52" s="50" t="str"/>
      <c r="H52" s="50" t="str"/>
      <c r="I52" s="50" t="str"/>
      <c r="J52" s="50" t="str"/>
      <c r="K52" s="71" t="n"/>
      <c r="L52" s="50" t="inlineStr">
        <is>
          <t>待核</t>
        </is>
      </c>
      <c r="M52" s="50" t="inlineStr">
        <is>
          <t>待核</t>
        </is>
      </c>
      <c r="N52" s="57">
        <f>IF(C52="","",IF(AND(F52&lt;&gt;"",G52&lt;&gt;"",H52&lt;&gt;"",I52&lt;&gt;"",L52="是",M52="否"),"计1项",IF(AND(H52&lt;&gt;"",I52&lt;&gt;"",L52="是",M52="否"),"中等证据","保守不计")))</f>
        <v/>
      </c>
      <c r="O52" s="57">
        <f>IF(OR(N52="计1项",N52="中等证据"),1,0)</f>
        <v/>
      </c>
      <c r="P52" s="50" t="str"/>
    </row>
    <row r="53">
      <c r="A53" s="49" t="inlineStr">
        <is>
          <t>CT49</t>
        </is>
      </c>
      <c r="B53" s="50" t="n"/>
      <c r="C53" s="50" t="str"/>
      <c r="D53" s="50" t="str"/>
      <c r="E53" s="50" t="str"/>
      <c r="F53" s="50" t="str"/>
      <c r="G53" s="50" t="str"/>
      <c r="H53" s="50" t="str"/>
      <c r="I53" s="50" t="str"/>
      <c r="J53" s="50" t="str"/>
      <c r="K53" s="71" t="n"/>
      <c r="L53" s="50" t="inlineStr">
        <is>
          <t>待核</t>
        </is>
      </c>
      <c r="M53" s="50" t="inlineStr">
        <is>
          <t>待核</t>
        </is>
      </c>
      <c r="N53" s="57">
        <f>IF(C53="","",IF(AND(F53&lt;&gt;"",G53&lt;&gt;"",H53&lt;&gt;"",I53&lt;&gt;"",L53="是",M53="否"),"计1项",IF(AND(H53&lt;&gt;"",I53&lt;&gt;"",L53="是",M53="否"),"中等证据","保守不计")))</f>
        <v/>
      </c>
      <c r="O53" s="57">
        <f>IF(OR(N53="计1项",N53="中等证据"),1,0)</f>
        <v/>
      </c>
      <c r="P53" s="50" t="str"/>
    </row>
    <row r="54">
      <c r="A54" s="49" t="inlineStr">
        <is>
          <t>CT50</t>
        </is>
      </c>
      <c r="B54" s="50" t="n"/>
      <c r="C54" s="50" t="str"/>
      <c r="D54" s="50" t="str"/>
      <c r="E54" s="50" t="str"/>
      <c r="F54" s="50" t="str"/>
      <c r="G54" s="50" t="str"/>
      <c r="H54" s="50" t="str"/>
      <c r="I54" s="50" t="str"/>
      <c r="J54" s="50" t="str"/>
      <c r="K54" s="71" t="n"/>
      <c r="L54" s="50" t="inlineStr">
        <is>
          <t>待核</t>
        </is>
      </c>
      <c r="M54" s="50" t="inlineStr">
        <is>
          <t>待核</t>
        </is>
      </c>
      <c r="N54" s="57">
        <f>IF(C54="","",IF(AND(F54&lt;&gt;"",G54&lt;&gt;"",H54&lt;&gt;"",I54&lt;&gt;"",L54="是",M54="否"),"计1项",IF(AND(H54&lt;&gt;"",I54&lt;&gt;"",L54="是",M54="否"),"中等证据","保守不计")))</f>
        <v/>
      </c>
      <c r="O54" s="57">
        <f>IF(OR(N54="计1项",N54="中等证据"),1,0)</f>
        <v/>
      </c>
      <c r="P54" s="50" t="str"/>
    </row>
    <row r="55">
      <c r="A55" s="49" t="inlineStr">
        <is>
          <t>CT51</t>
        </is>
      </c>
      <c r="B55" s="50" t="n"/>
      <c r="C55" s="50" t="str"/>
      <c r="D55" s="50" t="str"/>
      <c r="E55" s="50" t="str"/>
      <c r="F55" s="50" t="str"/>
      <c r="G55" s="50" t="str"/>
      <c r="H55" s="50" t="str"/>
      <c r="I55" s="50" t="str"/>
      <c r="J55" s="50" t="str"/>
      <c r="K55" s="71" t="n"/>
      <c r="L55" s="50" t="inlineStr">
        <is>
          <t>待核</t>
        </is>
      </c>
      <c r="M55" s="50" t="inlineStr">
        <is>
          <t>待核</t>
        </is>
      </c>
      <c r="N55" s="57">
        <f>IF(C55="","",IF(AND(F55&lt;&gt;"",G55&lt;&gt;"",H55&lt;&gt;"",I55&lt;&gt;"",L55="是",M55="否"),"计1项",IF(AND(H55&lt;&gt;"",I55&lt;&gt;"",L55="是",M55="否"),"中等证据","保守不计")))</f>
        <v/>
      </c>
      <c r="O55" s="57">
        <f>IF(OR(N55="计1项",N55="中等证据"),1,0)</f>
        <v/>
      </c>
      <c r="P55" s="50" t="str"/>
    </row>
    <row r="56">
      <c r="A56" s="49" t="inlineStr">
        <is>
          <t>CT52</t>
        </is>
      </c>
      <c r="B56" s="50" t="n"/>
      <c r="C56" s="50" t="str"/>
      <c r="D56" s="50" t="str"/>
      <c r="E56" s="50" t="str"/>
      <c r="F56" s="50" t="str"/>
      <c r="G56" s="50" t="str"/>
      <c r="H56" s="50" t="str"/>
      <c r="I56" s="50" t="str"/>
      <c r="J56" s="50" t="str"/>
      <c r="K56" s="71" t="n"/>
      <c r="L56" s="50" t="inlineStr">
        <is>
          <t>待核</t>
        </is>
      </c>
      <c r="M56" s="50" t="inlineStr">
        <is>
          <t>待核</t>
        </is>
      </c>
      <c r="N56" s="57">
        <f>IF(C56="","",IF(AND(F56&lt;&gt;"",G56&lt;&gt;"",H56&lt;&gt;"",I56&lt;&gt;"",L56="是",M56="否"),"计1项",IF(AND(H56&lt;&gt;"",I56&lt;&gt;"",L56="是",M56="否"),"中等证据","保守不计")))</f>
        <v/>
      </c>
      <c r="O56" s="57">
        <f>IF(OR(N56="计1项",N56="中等证据"),1,0)</f>
        <v/>
      </c>
      <c r="P56" s="50" t="str"/>
    </row>
    <row r="57">
      <c r="A57" s="49" t="inlineStr">
        <is>
          <t>CT53</t>
        </is>
      </c>
      <c r="B57" s="50" t="n"/>
      <c r="C57" s="50" t="str"/>
      <c r="D57" s="50" t="str"/>
      <c r="E57" s="50" t="str"/>
      <c r="F57" s="50" t="str"/>
      <c r="G57" s="50" t="str"/>
      <c r="H57" s="50" t="str"/>
      <c r="I57" s="50" t="str"/>
      <c r="J57" s="50" t="str"/>
      <c r="K57" s="71" t="n"/>
      <c r="L57" s="50" t="inlineStr">
        <is>
          <t>待核</t>
        </is>
      </c>
      <c r="M57" s="50" t="inlineStr">
        <is>
          <t>待核</t>
        </is>
      </c>
      <c r="N57" s="57">
        <f>IF(C57="","",IF(AND(F57&lt;&gt;"",G57&lt;&gt;"",H57&lt;&gt;"",I57&lt;&gt;"",L57="是",M57="否"),"计1项",IF(AND(H57&lt;&gt;"",I57&lt;&gt;"",L57="是",M57="否"),"中等证据","保守不计")))</f>
        <v/>
      </c>
      <c r="O57" s="57">
        <f>IF(OR(N57="计1项",N57="中等证据"),1,0)</f>
        <v/>
      </c>
      <c r="P57" s="50" t="str"/>
    </row>
    <row r="58">
      <c r="A58" s="49" t="inlineStr">
        <is>
          <t>CT54</t>
        </is>
      </c>
      <c r="B58" s="50" t="n"/>
      <c r="C58" s="50" t="str"/>
      <c r="D58" s="50" t="str"/>
      <c r="E58" s="50" t="str"/>
      <c r="F58" s="50" t="str"/>
      <c r="G58" s="50" t="str"/>
      <c r="H58" s="50" t="str"/>
      <c r="I58" s="50" t="str"/>
      <c r="J58" s="50" t="str"/>
      <c r="K58" s="71" t="n"/>
      <c r="L58" s="50" t="inlineStr">
        <is>
          <t>待核</t>
        </is>
      </c>
      <c r="M58" s="50" t="inlineStr">
        <is>
          <t>待核</t>
        </is>
      </c>
      <c r="N58" s="57">
        <f>IF(C58="","",IF(AND(F58&lt;&gt;"",G58&lt;&gt;"",H58&lt;&gt;"",I58&lt;&gt;"",L58="是",M58="否"),"计1项",IF(AND(H58&lt;&gt;"",I58&lt;&gt;"",L58="是",M58="否"),"中等证据","保守不计")))</f>
        <v/>
      </c>
      <c r="O58" s="57">
        <f>IF(OR(N58="计1项",N58="中等证据"),1,0)</f>
        <v/>
      </c>
      <c r="P58" s="50" t="str"/>
    </row>
    <row r="59">
      <c r="A59" s="49" t="inlineStr">
        <is>
          <t>CT55</t>
        </is>
      </c>
      <c r="B59" s="50" t="n"/>
      <c r="C59" s="50" t="str"/>
      <c r="D59" s="50" t="str"/>
      <c r="E59" s="50" t="str"/>
      <c r="F59" s="50" t="str"/>
      <c r="G59" s="50" t="str"/>
      <c r="H59" s="50" t="str"/>
      <c r="I59" s="50" t="str"/>
      <c r="J59" s="50" t="str"/>
      <c r="K59" s="71" t="n"/>
      <c r="L59" s="50" t="inlineStr">
        <is>
          <t>待核</t>
        </is>
      </c>
      <c r="M59" s="50" t="inlineStr">
        <is>
          <t>待核</t>
        </is>
      </c>
      <c r="N59" s="57">
        <f>IF(C59="","",IF(AND(F59&lt;&gt;"",G59&lt;&gt;"",H59&lt;&gt;"",I59&lt;&gt;"",L59="是",M59="否"),"计1项",IF(AND(H59&lt;&gt;"",I59&lt;&gt;"",L59="是",M59="否"),"中等证据","保守不计")))</f>
        <v/>
      </c>
      <c r="O59" s="57">
        <f>IF(OR(N59="计1项",N59="中等证据"),1,0)</f>
        <v/>
      </c>
      <c r="P59" s="50" t="str"/>
    </row>
    <row r="60">
      <c r="A60" s="49" t="inlineStr">
        <is>
          <t>CT56</t>
        </is>
      </c>
      <c r="B60" s="50" t="n"/>
      <c r="C60" s="50" t="str"/>
      <c r="D60" s="50" t="str"/>
      <c r="E60" s="50" t="str"/>
      <c r="F60" s="50" t="str"/>
      <c r="G60" s="50" t="str"/>
      <c r="H60" s="50" t="str"/>
      <c r="I60" s="50" t="str"/>
      <c r="J60" s="50" t="str"/>
      <c r="K60" s="71" t="n"/>
      <c r="L60" s="50" t="inlineStr">
        <is>
          <t>待核</t>
        </is>
      </c>
      <c r="M60" s="50" t="inlineStr">
        <is>
          <t>待核</t>
        </is>
      </c>
      <c r="N60" s="57">
        <f>IF(C60="","",IF(AND(F60&lt;&gt;"",G60&lt;&gt;"",H60&lt;&gt;"",I60&lt;&gt;"",L60="是",M60="否"),"计1项",IF(AND(H60&lt;&gt;"",I60&lt;&gt;"",L60="是",M60="否"),"中等证据","保守不计")))</f>
        <v/>
      </c>
      <c r="O60" s="57">
        <f>IF(OR(N60="计1项",N60="中等证据"),1,0)</f>
        <v/>
      </c>
      <c r="P60" s="50" t="str"/>
    </row>
    <row r="61">
      <c r="A61" s="49" t="inlineStr">
        <is>
          <t>CT57</t>
        </is>
      </c>
      <c r="B61" s="50" t="n"/>
      <c r="C61" s="50" t="str"/>
      <c r="D61" s="50" t="str"/>
      <c r="E61" s="50" t="str"/>
      <c r="F61" s="50" t="str"/>
      <c r="G61" s="50" t="str"/>
      <c r="H61" s="50" t="str"/>
      <c r="I61" s="50" t="str"/>
      <c r="J61" s="50" t="str"/>
      <c r="K61" s="71" t="n"/>
      <c r="L61" s="50" t="inlineStr">
        <is>
          <t>待核</t>
        </is>
      </c>
      <c r="M61" s="50" t="inlineStr">
        <is>
          <t>待核</t>
        </is>
      </c>
      <c r="N61" s="57">
        <f>IF(C61="","",IF(AND(F61&lt;&gt;"",G61&lt;&gt;"",H61&lt;&gt;"",I61&lt;&gt;"",L61="是",M61="否"),"计1项",IF(AND(H61&lt;&gt;"",I61&lt;&gt;"",L61="是",M61="否"),"中等证据","保守不计")))</f>
        <v/>
      </c>
      <c r="O61" s="57">
        <f>IF(OR(N61="计1项",N61="中等证据"),1,0)</f>
        <v/>
      </c>
      <c r="P61" s="50" t="str"/>
    </row>
    <row r="62">
      <c r="A62" s="49" t="inlineStr">
        <is>
          <t>CT58</t>
        </is>
      </c>
      <c r="B62" s="50" t="n"/>
      <c r="C62" s="50" t="str"/>
      <c r="D62" s="50" t="str"/>
      <c r="E62" s="50" t="str"/>
      <c r="F62" s="50" t="str"/>
      <c r="G62" s="50" t="str"/>
      <c r="H62" s="50" t="str"/>
      <c r="I62" s="50" t="str"/>
      <c r="J62" s="50" t="str"/>
      <c r="K62" s="71" t="n"/>
      <c r="L62" s="50" t="inlineStr">
        <is>
          <t>待核</t>
        </is>
      </c>
      <c r="M62" s="50" t="inlineStr">
        <is>
          <t>待核</t>
        </is>
      </c>
      <c r="N62" s="57">
        <f>IF(C62="","",IF(AND(F62&lt;&gt;"",G62&lt;&gt;"",H62&lt;&gt;"",I62&lt;&gt;"",L62="是",M62="否"),"计1项",IF(AND(H62&lt;&gt;"",I62&lt;&gt;"",L62="是",M62="否"),"中等证据","保守不计")))</f>
        <v/>
      </c>
      <c r="O62" s="57">
        <f>IF(OR(N62="计1项",N62="中等证据"),1,0)</f>
        <v/>
      </c>
      <c r="P62" s="50" t="str"/>
    </row>
    <row r="63">
      <c r="A63" s="49" t="inlineStr">
        <is>
          <t>CT59</t>
        </is>
      </c>
      <c r="B63" s="50" t="n"/>
      <c r="C63" s="50" t="str"/>
      <c r="D63" s="50" t="str"/>
      <c r="E63" s="50" t="str"/>
      <c r="F63" s="50" t="str"/>
      <c r="G63" s="50" t="str"/>
      <c r="H63" s="50" t="str"/>
      <c r="I63" s="50" t="str"/>
      <c r="J63" s="50" t="str"/>
      <c r="K63" s="71" t="n"/>
      <c r="L63" s="50" t="inlineStr">
        <is>
          <t>待核</t>
        </is>
      </c>
      <c r="M63" s="50" t="inlineStr">
        <is>
          <t>待核</t>
        </is>
      </c>
      <c r="N63" s="57">
        <f>IF(C63="","",IF(AND(F63&lt;&gt;"",G63&lt;&gt;"",H63&lt;&gt;"",I63&lt;&gt;"",L63="是",M63="否"),"计1项",IF(AND(H63&lt;&gt;"",I63&lt;&gt;"",L63="是",M63="否"),"中等证据","保守不计")))</f>
        <v/>
      </c>
      <c r="O63" s="57">
        <f>IF(OR(N63="计1项",N63="中等证据"),1,0)</f>
        <v/>
      </c>
      <c r="P63" s="50" t="str"/>
    </row>
    <row r="64">
      <c r="A64" s="49" t="inlineStr">
        <is>
          <t>CT60</t>
        </is>
      </c>
      <c r="B64" s="50" t="n"/>
      <c r="C64" s="50" t="str"/>
      <c r="D64" s="50" t="str"/>
      <c r="E64" s="50" t="str"/>
      <c r="F64" s="50" t="str"/>
      <c r="G64" s="50" t="str"/>
      <c r="H64" s="50" t="str"/>
      <c r="I64" s="50" t="str"/>
      <c r="J64" s="50" t="str"/>
      <c r="K64" s="71" t="n"/>
      <c r="L64" s="50" t="inlineStr">
        <is>
          <t>待核</t>
        </is>
      </c>
      <c r="M64" s="50" t="inlineStr">
        <is>
          <t>待核</t>
        </is>
      </c>
      <c r="N64" s="57">
        <f>IF(C64="","",IF(AND(F64&lt;&gt;"",G64&lt;&gt;"",H64&lt;&gt;"",I64&lt;&gt;"",L64="是",M64="否"),"计1项",IF(AND(H64&lt;&gt;"",I64&lt;&gt;"",L64="是",M64="否"),"中等证据","保守不计")))</f>
        <v/>
      </c>
      <c r="O64" s="57">
        <f>IF(OR(N64="计1项",N64="中等证据"),1,0)</f>
        <v/>
      </c>
      <c r="P64" s="50" t="str"/>
    </row>
    <row r="65">
      <c r="A65" s="49" t="inlineStr">
        <is>
          <t>CT61</t>
        </is>
      </c>
      <c r="B65" s="50" t="n"/>
      <c r="C65" s="50" t="str"/>
      <c r="D65" s="50" t="str"/>
      <c r="E65" s="50" t="str"/>
      <c r="F65" s="50" t="str"/>
      <c r="G65" s="50" t="str"/>
      <c r="H65" s="50" t="str"/>
      <c r="I65" s="50" t="str"/>
      <c r="J65" s="50" t="str"/>
      <c r="K65" s="71" t="n"/>
      <c r="L65" s="50" t="inlineStr">
        <is>
          <t>待核</t>
        </is>
      </c>
      <c r="M65" s="50" t="inlineStr">
        <is>
          <t>待核</t>
        </is>
      </c>
      <c r="N65" s="57">
        <f>IF(C65="","",IF(AND(F65&lt;&gt;"",G65&lt;&gt;"",H65&lt;&gt;"",I65&lt;&gt;"",L65="是",M65="否"),"计1项",IF(AND(H65&lt;&gt;"",I65&lt;&gt;"",L65="是",M65="否"),"中等证据","保守不计")))</f>
        <v/>
      </c>
      <c r="O65" s="57">
        <f>IF(OR(N65="计1项",N65="中等证据"),1,0)</f>
        <v/>
      </c>
      <c r="P65" s="50" t="str"/>
    </row>
    <row r="66">
      <c r="A66" s="49" t="inlineStr">
        <is>
          <t>CT62</t>
        </is>
      </c>
      <c r="B66" s="50" t="n"/>
      <c r="C66" s="50" t="str"/>
      <c r="D66" s="50" t="str"/>
      <c r="E66" s="50" t="str"/>
      <c r="F66" s="50" t="str"/>
      <c r="G66" s="50" t="str"/>
      <c r="H66" s="50" t="str"/>
      <c r="I66" s="50" t="str"/>
      <c r="J66" s="50" t="str"/>
      <c r="K66" s="71" t="n"/>
      <c r="L66" s="50" t="inlineStr">
        <is>
          <t>待核</t>
        </is>
      </c>
      <c r="M66" s="50" t="inlineStr">
        <is>
          <t>待核</t>
        </is>
      </c>
      <c r="N66" s="57">
        <f>IF(C66="","",IF(AND(F66&lt;&gt;"",G66&lt;&gt;"",H66&lt;&gt;"",I66&lt;&gt;"",L66="是",M66="否"),"计1项",IF(AND(H66&lt;&gt;"",I66&lt;&gt;"",L66="是",M66="否"),"中等证据","保守不计")))</f>
        <v/>
      </c>
      <c r="O66" s="57">
        <f>IF(OR(N66="计1项",N66="中等证据"),1,0)</f>
        <v/>
      </c>
      <c r="P66" s="50" t="str"/>
    </row>
    <row r="67">
      <c r="A67" s="49" t="inlineStr">
        <is>
          <t>CT63</t>
        </is>
      </c>
      <c r="B67" s="50" t="n"/>
      <c r="C67" s="50" t="str"/>
      <c r="D67" s="50" t="str"/>
      <c r="E67" s="50" t="str"/>
      <c r="F67" s="50" t="str"/>
      <c r="G67" s="50" t="str"/>
      <c r="H67" s="50" t="str"/>
      <c r="I67" s="50" t="str"/>
      <c r="J67" s="50" t="str"/>
      <c r="K67" s="71" t="n"/>
      <c r="L67" s="50" t="inlineStr">
        <is>
          <t>待核</t>
        </is>
      </c>
      <c r="M67" s="50" t="inlineStr">
        <is>
          <t>待核</t>
        </is>
      </c>
      <c r="N67" s="57">
        <f>IF(C67="","",IF(AND(F67&lt;&gt;"",G67&lt;&gt;"",H67&lt;&gt;"",I67&lt;&gt;"",L67="是",M67="否"),"计1项",IF(AND(H67&lt;&gt;"",I67&lt;&gt;"",L67="是",M67="否"),"中等证据","保守不计")))</f>
        <v/>
      </c>
      <c r="O67" s="57">
        <f>IF(OR(N67="计1项",N67="中等证据"),1,0)</f>
        <v/>
      </c>
      <c r="P67" s="50" t="str"/>
    </row>
    <row r="68">
      <c r="A68" s="49" t="inlineStr">
        <is>
          <t>CT64</t>
        </is>
      </c>
      <c r="B68" s="50" t="n"/>
      <c r="C68" s="50" t="str"/>
      <c r="D68" s="50" t="str"/>
      <c r="E68" s="50" t="str"/>
      <c r="F68" s="50" t="str"/>
      <c r="G68" s="50" t="str"/>
      <c r="H68" s="50" t="str"/>
      <c r="I68" s="50" t="str"/>
      <c r="J68" s="50" t="str"/>
      <c r="K68" s="71" t="n"/>
      <c r="L68" s="50" t="inlineStr">
        <is>
          <t>待核</t>
        </is>
      </c>
      <c r="M68" s="50" t="inlineStr">
        <is>
          <t>待核</t>
        </is>
      </c>
      <c r="N68" s="57">
        <f>IF(C68="","",IF(AND(F68&lt;&gt;"",G68&lt;&gt;"",H68&lt;&gt;"",I68&lt;&gt;"",L68="是",M68="否"),"计1项",IF(AND(H68&lt;&gt;"",I68&lt;&gt;"",L68="是",M68="否"),"中等证据","保守不计")))</f>
        <v/>
      </c>
      <c r="O68" s="57">
        <f>IF(OR(N68="计1项",N68="中等证据"),1,0)</f>
        <v/>
      </c>
      <c r="P68" s="50" t="str"/>
    </row>
    <row r="69">
      <c r="A69" s="49" t="inlineStr">
        <is>
          <t>CT65</t>
        </is>
      </c>
      <c r="B69" s="50" t="n"/>
      <c r="C69" s="50" t="str"/>
      <c r="D69" s="50" t="str"/>
      <c r="E69" s="50" t="str"/>
      <c r="F69" s="50" t="str"/>
      <c r="G69" s="50" t="str"/>
      <c r="H69" s="50" t="str"/>
      <c r="I69" s="50" t="str"/>
      <c r="J69" s="50" t="str"/>
      <c r="K69" s="71" t="n"/>
      <c r="L69" s="50" t="inlineStr">
        <is>
          <t>待核</t>
        </is>
      </c>
      <c r="M69" s="50" t="inlineStr">
        <is>
          <t>待核</t>
        </is>
      </c>
      <c r="N69" s="57">
        <f>IF(C69="","",IF(AND(F69&lt;&gt;"",G69&lt;&gt;"",H69&lt;&gt;"",I69&lt;&gt;"",L69="是",M69="否"),"计1项",IF(AND(H69&lt;&gt;"",I69&lt;&gt;"",L69="是",M69="否"),"中等证据","保守不计")))</f>
        <v/>
      </c>
      <c r="O69" s="57">
        <f>IF(OR(N69="计1项",N69="中等证据"),1,0)</f>
        <v/>
      </c>
      <c r="P69" s="50" t="str"/>
    </row>
    <row r="70">
      <c r="A70" s="49" t="inlineStr">
        <is>
          <t>CT66</t>
        </is>
      </c>
      <c r="B70" s="50" t="n"/>
      <c r="C70" s="50" t="str"/>
      <c r="D70" s="50" t="str"/>
      <c r="E70" s="50" t="str"/>
      <c r="F70" s="50" t="str"/>
      <c r="G70" s="50" t="str"/>
      <c r="H70" s="50" t="str"/>
      <c r="I70" s="50" t="str"/>
      <c r="J70" s="50" t="str"/>
      <c r="K70" s="71" t="n"/>
      <c r="L70" s="50" t="inlineStr">
        <is>
          <t>待核</t>
        </is>
      </c>
      <c r="M70" s="50" t="inlineStr">
        <is>
          <t>待核</t>
        </is>
      </c>
      <c r="N70" s="57">
        <f>IF(C70="","",IF(AND(F70&lt;&gt;"",G70&lt;&gt;"",H70&lt;&gt;"",I70&lt;&gt;"",L70="是",M70="否"),"计1项",IF(AND(H70&lt;&gt;"",I70&lt;&gt;"",L70="是",M70="否"),"中等证据","保守不计")))</f>
        <v/>
      </c>
      <c r="O70" s="57">
        <f>IF(OR(N70="计1项",N70="中等证据"),1,0)</f>
        <v/>
      </c>
      <c r="P70" s="50" t="str"/>
    </row>
    <row r="71">
      <c r="A71" s="49" t="inlineStr">
        <is>
          <t>CT67</t>
        </is>
      </c>
      <c r="B71" s="50" t="n"/>
      <c r="C71" s="50" t="str"/>
      <c r="D71" s="50" t="str"/>
      <c r="E71" s="50" t="str"/>
      <c r="F71" s="50" t="str"/>
      <c r="G71" s="50" t="str"/>
      <c r="H71" s="50" t="str"/>
      <c r="I71" s="50" t="str"/>
      <c r="J71" s="50" t="str"/>
      <c r="K71" s="71" t="n"/>
      <c r="L71" s="50" t="inlineStr">
        <is>
          <t>待核</t>
        </is>
      </c>
      <c r="M71" s="50" t="inlineStr">
        <is>
          <t>待核</t>
        </is>
      </c>
      <c r="N71" s="57">
        <f>IF(C71="","",IF(AND(F71&lt;&gt;"",G71&lt;&gt;"",H71&lt;&gt;"",I71&lt;&gt;"",L71="是",M71="否"),"计1项",IF(AND(H71&lt;&gt;"",I71&lt;&gt;"",L71="是",M71="否"),"中等证据","保守不计")))</f>
        <v/>
      </c>
      <c r="O71" s="57">
        <f>IF(OR(N71="计1项",N71="中等证据"),1,0)</f>
        <v/>
      </c>
      <c r="P71" s="50" t="str"/>
    </row>
    <row r="72">
      <c r="A72" s="49" t="inlineStr">
        <is>
          <t>CT68</t>
        </is>
      </c>
      <c r="B72" s="50" t="n"/>
      <c r="C72" s="50" t="str"/>
      <c r="D72" s="50" t="str"/>
      <c r="E72" s="50" t="str"/>
      <c r="F72" s="50" t="str"/>
      <c r="G72" s="50" t="str"/>
      <c r="H72" s="50" t="str"/>
      <c r="I72" s="50" t="str"/>
      <c r="J72" s="50" t="str"/>
      <c r="K72" s="71" t="n"/>
      <c r="L72" s="50" t="inlineStr">
        <is>
          <t>待核</t>
        </is>
      </c>
      <c r="M72" s="50" t="inlineStr">
        <is>
          <t>待核</t>
        </is>
      </c>
      <c r="N72" s="57">
        <f>IF(C72="","",IF(AND(F72&lt;&gt;"",G72&lt;&gt;"",H72&lt;&gt;"",I72&lt;&gt;"",L72="是",M72="否"),"计1项",IF(AND(H72&lt;&gt;"",I72&lt;&gt;"",L72="是",M72="否"),"中等证据","保守不计")))</f>
        <v/>
      </c>
      <c r="O72" s="57">
        <f>IF(OR(N72="计1项",N72="中等证据"),1,0)</f>
        <v/>
      </c>
      <c r="P72" s="50" t="str"/>
    </row>
    <row r="73">
      <c r="A73" s="49" t="inlineStr">
        <is>
          <t>CT69</t>
        </is>
      </c>
      <c r="B73" s="50" t="n"/>
      <c r="C73" s="50" t="str"/>
      <c r="D73" s="50" t="str"/>
      <c r="E73" s="50" t="str"/>
      <c r="F73" s="50" t="str"/>
      <c r="G73" s="50" t="str"/>
      <c r="H73" s="50" t="str"/>
      <c r="I73" s="50" t="str"/>
      <c r="J73" s="50" t="str"/>
      <c r="K73" s="71" t="n"/>
      <c r="L73" s="50" t="inlineStr">
        <is>
          <t>待核</t>
        </is>
      </c>
      <c r="M73" s="50" t="inlineStr">
        <is>
          <t>待核</t>
        </is>
      </c>
      <c r="N73" s="57">
        <f>IF(C73="","",IF(AND(F73&lt;&gt;"",G73&lt;&gt;"",H73&lt;&gt;"",I73&lt;&gt;"",L73="是",M73="否"),"计1项",IF(AND(H73&lt;&gt;"",I73&lt;&gt;"",L73="是",M73="否"),"中等证据","保守不计")))</f>
        <v/>
      </c>
      <c r="O73" s="57">
        <f>IF(OR(N73="计1项",N73="中等证据"),1,0)</f>
        <v/>
      </c>
      <c r="P73" s="50" t="str"/>
    </row>
    <row r="74">
      <c r="A74" s="49" t="inlineStr">
        <is>
          <t>CT70</t>
        </is>
      </c>
      <c r="B74" s="50" t="n"/>
      <c r="C74" s="50" t="str"/>
      <c r="D74" s="50" t="str"/>
      <c r="E74" s="50" t="str"/>
      <c r="F74" s="50" t="str"/>
      <c r="G74" s="50" t="str"/>
      <c r="H74" s="50" t="str"/>
      <c r="I74" s="50" t="str"/>
      <c r="J74" s="50" t="str"/>
      <c r="K74" s="71" t="n"/>
      <c r="L74" s="50" t="inlineStr">
        <is>
          <t>待核</t>
        </is>
      </c>
      <c r="M74" s="50" t="inlineStr">
        <is>
          <t>待核</t>
        </is>
      </c>
      <c r="N74" s="57">
        <f>IF(C74="","",IF(AND(F74&lt;&gt;"",G74&lt;&gt;"",H74&lt;&gt;"",I74&lt;&gt;"",L74="是",M74="否"),"计1项",IF(AND(H74&lt;&gt;"",I74&lt;&gt;"",L74="是",M74="否"),"中等证据","保守不计")))</f>
        <v/>
      </c>
      <c r="O74" s="57">
        <f>IF(OR(N74="计1项",N74="中等证据"),1,0)</f>
        <v/>
      </c>
      <c r="P74" s="50" t="str"/>
    </row>
    <row r="75">
      <c r="A75" s="49" t="inlineStr">
        <is>
          <t>CT71</t>
        </is>
      </c>
      <c r="B75" s="50" t="n"/>
      <c r="C75" s="50" t="str"/>
      <c r="D75" s="50" t="str"/>
      <c r="E75" s="50" t="str"/>
      <c r="F75" s="50" t="str"/>
      <c r="G75" s="50" t="str"/>
      <c r="H75" s="50" t="str"/>
      <c r="I75" s="50" t="str"/>
      <c r="J75" s="50" t="str"/>
      <c r="K75" s="71" t="n"/>
      <c r="L75" s="50" t="inlineStr">
        <is>
          <t>待核</t>
        </is>
      </c>
      <c r="M75" s="50" t="inlineStr">
        <is>
          <t>待核</t>
        </is>
      </c>
      <c r="N75" s="57">
        <f>IF(C75="","",IF(AND(F75&lt;&gt;"",G75&lt;&gt;"",H75&lt;&gt;"",I75&lt;&gt;"",L75="是",M75="否"),"计1项",IF(AND(H75&lt;&gt;"",I75&lt;&gt;"",L75="是",M75="否"),"中等证据","保守不计")))</f>
        <v/>
      </c>
      <c r="O75" s="57">
        <f>IF(OR(N75="计1项",N75="中等证据"),1,0)</f>
        <v/>
      </c>
      <c r="P75" s="50" t="str"/>
    </row>
    <row r="76">
      <c r="A76" s="49" t="inlineStr">
        <is>
          <t>CT72</t>
        </is>
      </c>
      <c r="B76" s="50" t="n"/>
      <c r="C76" s="50" t="str"/>
      <c r="D76" s="50" t="str"/>
      <c r="E76" s="50" t="str"/>
      <c r="F76" s="50" t="str"/>
      <c r="G76" s="50" t="str"/>
      <c r="H76" s="50" t="str"/>
      <c r="I76" s="50" t="str"/>
      <c r="J76" s="50" t="str"/>
      <c r="K76" s="71" t="n"/>
      <c r="L76" s="50" t="inlineStr">
        <is>
          <t>待核</t>
        </is>
      </c>
      <c r="M76" s="50" t="inlineStr">
        <is>
          <t>待核</t>
        </is>
      </c>
      <c r="N76" s="57">
        <f>IF(C76="","",IF(AND(F76&lt;&gt;"",G76&lt;&gt;"",H76&lt;&gt;"",I76&lt;&gt;"",L76="是",M76="否"),"计1项",IF(AND(H76&lt;&gt;"",I76&lt;&gt;"",L76="是",M76="否"),"中等证据","保守不计")))</f>
        <v/>
      </c>
      <c r="O76" s="57">
        <f>IF(OR(N76="计1项",N76="中等证据"),1,0)</f>
        <v/>
      </c>
      <c r="P76" s="50" t="str"/>
    </row>
    <row r="77">
      <c r="A77" s="49" t="inlineStr">
        <is>
          <t>CT73</t>
        </is>
      </c>
      <c r="B77" s="50" t="n"/>
      <c r="C77" s="50" t="str"/>
      <c r="D77" s="50" t="str"/>
      <c r="E77" s="50" t="str"/>
      <c r="F77" s="50" t="str"/>
      <c r="G77" s="50" t="str"/>
      <c r="H77" s="50" t="str"/>
      <c r="I77" s="50" t="str"/>
      <c r="J77" s="50" t="str"/>
      <c r="K77" s="71" t="n"/>
      <c r="L77" s="50" t="inlineStr">
        <is>
          <t>待核</t>
        </is>
      </c>
      <c r="M77" s="50" t="inlineStr">
        <is>
          <t>待核</t>
        </is>
      </c>
      <c r="N77" s="57">
        <f>IF(C77="","",IF(AND(F77&lt;&gt;"",G77&lt;&gt;"",H77&lt;&gt;"",I77&lt;&gt;"",L77="是",M77="否"),"计1项",IF(AND(H77&lt;&gt;"",I77&lt;&gt;"",L77="是",M77="否"),"中等证据","保守不计")))</f>
        <v/>
      </c>
      <c r="O77" s="57">
        <f>IF(OR(N77="计1项",N77="中等证据"),1,0)</f>
        <v/>
      </c>
      <c r="P77" s="50" t="str"/>
    </row>
    <row r="78">
      <c r="A78" s="49" t="inlineStr">
        <is>
          <t>CT74</t>
        </is>
      </c>
      <c r="B78" s="50" t="n"/>
      <c r="C78" s="50" t="str"/>
      <c r="D78" s="50" t="str"/>
      <c r="E78" s="50" t="str"/>
      <c r="F78" s="50" t="str"/>
      <c r="G78" s="50" t="str"/>
      <c r="H78" s="50" t="str"/>
      <c r="I78" s="50" t="str"/>
      <c r="J78" s="50" t="str"/>
      <c r="K78" s="71" t="n"/>
      <c r="L78" s="50" t="inlineStr">
        <is>
          <t>待核</t>
        </is>
      </c>
      <c r="M78" s="50" t="inlineStr">
        <is>
          <t>待核</t>
        </is>
      </c>
      <c r="N78" s="57">
        <f>IF(C78="","",IF(AND(F78&lt;&gt;"",G78&lt;&gt;"",H78&lt;&gt;"",I78&lt;&gt;"",L78="是",M78="否"),"计1项",IF(AND(H78&lt;&gt;"",I78&lt;&gt;"",L78="是",M78="否"),"中等证据","保守不计")))</f>
        <v/>
      </c>
      <c r="O78" s="57">
        <f>IF(OR(N78="计1项",N78="中等证据"),1,0)</f>
        <v/>
      </c>
      <c r="P78" s="50" t="str"/>
    </row>
    <row r="79">
      <c r="A79" s="49" t="inlineStr">
        <is>
          <t>CT75</t>
        </is>
      </c>
      <c r="B79" s="50" t="n"/>
      <c r="C79" s="50" t="str"/>
      <c r="D79" s="50" t="str"/>
      <c r="E79" s="50" t="str"/>
      <c r="F79" s="50" t="str"/>
      <c r="G79" s="50" t="str"/>
      <c r="H79" s="50" t="str"/>
      <c r="I79" s="50" t="str"/>
      <c r="J79" s="50" t="str"/>
      <c r="K79" s="71" t="n"/>
      <c r="L79" s="50" t="inlineStr">
        <is>
          <t>待核</t>
        </is>
      </c>
      <c r="M79" s="50" t="inlineStr">
        <is>
          <t>待核</t>
        </is>
      </c>
      <c r="N79" s="57">
        <f>IF(C79="","",IF(AND(F79&lt;&gt;"",G79&lt;&gt;"",H79&lt;&gt;"",I79&lt;&gt;"",L79="是",M79="否"),"计1项",IF(AND(H79&lt;&gt;"",I79&lt;&gt;"",L79="是",M79="否"),"中等证据","保守不计")))</f>
        <v/>
      </c>
      <c r="O79" s="57">
        <f>IF(OR(N79="计1项",N79="中等证据"),1,0)</f>
        <v/>
      </c>
      <c r="P79" s="50" t="str"/>
    </row>
    <row r="80">
      <c r="A80" s="49" t="inlineStr">
        <is>
          <t>CT76</t>
        </is>
      </c>
      <c r="B80" s="50" t="n"/>
      <c r="C80" s="50" t="str"/>
      <c r="D80" s="50" t="str"/>
      <c r="E80" s="50" t="str"/>
      <c r="F80" s="50" t="str"/>
      <c r="G80" s="50" t="str"/>
      <c r="H80" s="50" t="str"/>
      <c r="I80" s="50" t="str"/>
      <c r="J80" s="50" t="str"/>
      <c r="K80" s="71" t="n"/>
      <c r="L80" s="50" t="inlineStr">
        <is>
          <t>待核</t>
        </is>
      </c>
      <c r="M80" s="50" t="inlineStr">
        <is>
          <t>待核</t>
        </is>
      </c>
      <c r="N80" s="57">
        <f>IF(C80="","",IF(AND(F80&lt;&gt;"",G80&lt;&gt;"",H80&lt;&gt;"",I80&lt;&gt;"",L80="是",M80="否"),"计1项",IF(AND(H80&lt;&gt;"",I80&lt;&gt;"",L80="是",M80="否"),"中等证据","保守不计")))</f>
        <v/>
      </c>
      <c r="O80" s="57">
        <f>IF(OR(N80="计1项",N80="中等证据"),1,0)</f>
        <v/>
      </c>
      <c r="P80" s="50" t="str"/>
    </row>
    <row r="81">
      <c r="A81" s="49" t="inlineStr">
        <is>
          <t>CT77</t>
        </is>
      </c>
      <c r="B81" s="50" t="n"/>
      <c r="C81" s="50" t="str"/>
      <c r="D81" s="50" t="str"/>
      <c r="E81" s="50" t="str"/>
      <c r="F81" s="50" t="str"/>
      <c r="G81" s="50" t="str"/>
      <c r="H81" s="50" t="str"/>
      <c r="I81" s="50" t="str"/>
      <c r="J81" s="50" t="str"/>
      <c r="K81" s="71" t="n"/>
      <c r="L81" s="50" t="inlineStr">
        <is>
          <t>待核</t>
        </is>
      </c>
      <c r="M81" s="50" t="inlineStr">
        <is>
          <t>待核</t>
        </is>
      </c>
      <c r="N81" s="57">
        <f>IF(C81="","",IF(AND(F81&lt;&gt;"",G81&lt;&gt;"",H81&lt;&gt;"",I81&lt;&gt;"",L81="是",M81="否"),"计1项",IF(AND(H81&lt;&gt;"",I81&lt;&gt;"",L81="是",M81="否"),"中等证据","保守不计")))</f>
        <v/>
      </c>
      <c r="O81" s="57">
        <f>IF(OR(N81="计1项",N81="中等证据"),1,0)</f>
        <v/>
      </c>
      <c r="P81" s="50" t="str"/>
    </row>
    <row r="82">
      <c r="A82" s="49" t="inlineStr">
        <is>
          <t>CT78</t>
        </is>
      </c>
      <c r="B82" s="50" t="n"/>
      <c r="C82" s="50" t="str"/>
      <c r="D82" s="50" t="str"/>
      <c r="E82" s="50" t="str"/>
      <c r="F82" s="50" t="str"/>
      <c r="G82" s="50" t="str"/>
      <c r="H82" s="50" t="str"/>
      <c r="I82" s="50" t="str"/>
      <c r="J82" s="50" t="str"/>
      <c r="K82" s="71" t="n"/>
      <c r="L82" s="50" t="inlineStr">
        <is>
          <t>待核</t>
        </is>
      </c>
      <c r="M82" s="50" t="inlineStr">
        <is>
          <t>待核</t>
        </is>
      </c>
      <c r="N82" s="57">
        <f>IF(C82="","",IF(AND(F82&lt;&gt;"",G82&lt;&gt;"",H82&lt;&gt;"",I82&lt;&gt;"",L82="是",M82="否"),"计1项",IF(AND(H82&lt;&gt;"",I82&lt;&gt;"",L82="是",M82="否"),"中等证据","保守不计")))</f>
        <v/>
      </c>
      <c r="O82" s="57">
        <f>IF(OR(N82="计1项",N82="中等证据"),1,0)</f>
        <v/>
      </c>
      <c r="P82" s="50" t="str"/>
    </row>
    <row r="83">
      <c r="A83" s="49" t="inlineStr">
        <is>
          <t>CT79</t>
        </is>
      </c>
      <c r="B83" s="50" t="n"/>
      <c r="C83" s="50" t="str"/>
      <c r="D83" s="50" t="str"/>
      <c r="E83" s="50" t="str"/>
      <c r="F83" s="50" t="str"/>
      <c r="G83" s="50" t="str"/>
      <c r="H83" s="50" t="str"/>
      <c r="I83" s="50" t="str"/>
      <c r="J83" s="50" t="str"/>
      <c r="K83" s="71" t="n"/>
      <c r="L83" s="50" t="inlineStr">
        <is>
          <t>待核</t>
        </is>
      </c>
      <c r="M83" s="50" t="inlineStr">
        <is>
          <t>待核</t>
        </is>
      </c>
      <c r="N83" s="57">
        <f>IF(C83="","",IF(AND(F83&lt;&gt;"",G83&lt;&gt;"",H83&lt;&gt;"",I83&lt;&gt;"",L83="是",M83="否"),"计1项",IF(AND(H83&lt;&gt;"",I83&lt;&gt;"",L83="是",M83="否"),"中等证据","保守不计")))</f>
        <v/>
      </c>
      <c r="O83" s="57">
        <f>IF(OR(N83="计1项",N83="中等证据"),1,0)</f>
        <v/>
      </c>
      <c r="P83" s="50" t="str"/>
    </row>
    <row r="84">
      <c r="A84" s="49" t="inlineStr">
        <is>
          <t>CT80</t>
        </is>
      </c>
      <c r="B84" s="50" t="n"/>
      <c r="C84" s="50" t="str"/>
      <c r="D84" s="50" t="str"/>
      <c r="E84" s="50" t="str"/>
      <c r="F84" s="50" t="str"/>
      <c r="G84" s="50" t="str"/>
      <c r="H84" s="50" t="str"/>
      <c r="I84" s="50" t="str"/>
      <c r="J84" s="50" t="str"/>
      <c r="K84" s="71" t="n"/>
      <c r="L84" s="50" t="inlineStr">
        <is>
          <t>待核</t>
        </is>
      </c>
      <c r="M84" s="50" t="inlineStr">
        <is>
          <t>待核</t>
        </is>
      </c>
      <c r="N84" s="57">
        <f>IF(C84="","",IF(AND(F84&lt;&gt;"",G84&lt;&gt;"",H84&lt;&gt;"",I84&lt;&gt;"",L84="是",M84="否"),"计1项",IF(AND(H84&lt;&gt;"",I84&lt;&gt;"",L84="是",M84="否"),"中等证据","保守不计")))</f>
        <v/>
      </c>
      <c r="O84" s="57">
        <f>IF(OR(N84="计1项",N84="中等证据"),1,0)</f>
        <v/>
      </c>
      <c r="P84" s="50" t="str"/>
    </row>
    <row r="85">
      <c r="A85" s="49" t="inlineStr">
        <is>
          <t>CT81</t>
        </is>
      </c>
      <c r="B85" s="50" t="n"/>
      <c r="C85" s="50" t="str"/>
      <c r="D85" s="50" t="str"/>
      <c r="E85" s="50" t="str"/>
      <c r="F85" s="50" t="str"/>
      <c r="G85" s="50" t="str"/>
      <c r="H85" s="50" t="str"/>
      <c r="I85" s="50" t="str"/>
      <c r="J85" s="50" t="str"/>
      <c r="K85" s="71" t="n"/>
      <c r="L85" s="50" t="inlineStr">
        <is>
          <t>待核</t>
        </is>
      </c>
      <c r="M85" s="50" t="inlineStr">
        <is>
          <t>待核</t>
        </is>
      </c>
      <c r="N85" s="57">
        <f>IF(C85="","",IF(AND(F85&lt;&gt;"",G85&lt;&gt;"",H85&lt;&gt;"",I85&lt;&gt;"",L85="是",M85="否"),"计1项",IF(AND(H85&lt;&gt;"",I85&lt;&gt;"",L85="是",M85="否"),"中等证据","保守不计")))</f>
        <v/>
      </c>
      <c r="O85" s="57">
        <f>IF(OR(N85="计1项",N85="中等证据"),1,0)</f>
        <v/>
      </c>
      <c r="P85" s="50" t="str"/>
    </row>
    <row r="86">
      <c r="A86" s="49" t="inlineStr">
        <is>
          <t>CT82</t>
        </is>
      </c>
      <c r="B86" s="50" t="n"/>
      <c r="C86" s="50" t="str"/>
      <c r="D86" s="50" t="str"/>
      <c r="E86" s="50" t="str"/>
      <c r="F86" s="50" t="str"/>
      <c r="G86" s="50" t="str"/>
      <c r="H86" s="50" t="str"/>
      <c r="I86" s="50" t="str"/>
      <c r="J86" s="50" t="str"/>
      <c r="K86" s="71" t="n"/>
      <c r="L86" s="50" t="inlineStr">
        <is>
          <t>待核</t>
        </is>
      </c>
      <c r="M86" s="50" t="inlineStr">
        <is>
          <t>待核</t>
        </is>
      </c>
      <c r="N86" s="57">
        <f>IF(C86="","",IF(AND(F86&lt;&gt;"",G86&lt;&gt;"",H86&lt;&gt;"",I86&lt;&gt;"",L86="是",M86="否"),"计1项",IF(AND(H86&lt;&gt;"",I86&lt;&gt;"",L86="是",M86="否"),"中等证据","保守不计")))</f>
        <v/>
      </c>
      <c r="O86" s="57">
        <f>IF(OR(N86="计1项",N86="中等证据"),1,0)</f>
        <v/>
      </c>
      <c r="P86" s="50" t="str"/>
    </row>
    <row r="87">
      <c r="A87" s="49" t="inlineStr">
        <is>
          <t>CT83</t>
        </is>
      </c>
      <c r="B87" s="50" t="n"/>
      <c r="C87" s="50" t="str"/>
      <c r="D87" s="50" t="str"/>
      <c r="E87" s="50" t="str"/>
      <c r="F87" s="50" t="str"/>
      <c r="G87" s="50" t="str"/>
      <c r="H87" s="50" t="str"/>
      <c r="I87" s="50" t="str"/>
      <c r="J87" s="50" t="str"/>
      <c r="K87" s="71" t="n"/>
      <c r="L87" s="50" t="inlineStr">
        <is>
          <t>待核</t>
        </is>
      </c>
      <c r="M87" s="50" t="inlineStr">
        <is>
          <t>待核</t>
        </is>
      </c>
      <c r="N87" s="57">
        <f>IF(C87="","",IF(AND(F87&lt;&gt;"",G87&lt;&gt;"",H87&lt;&gt;"",I87&lt;&gt;"",L87="是",M87="否"),"计1项",IF(AND(H87&lt;&gt;"",I87&lt;&gt;"",L87="是",M87="否"),"中等证据","保守不计")))</f>
        <v/>
      </c>
      <c r="O87" s="57">
        <f>IF(OR(N87="计1项",N87="中等证据"),1,0)</f>
        <v/>
      </c>
      <c r="P87" s="50" t="str"/>
    </row>
    <row r="88">
      <c r="A88" s="49" t="inlineStr">
        <is>
          <t>CT84</t>
        </is>
      </c>
      <c r="B88" s="50" t="n"/>
      <c r="C88" s="50" t="str"/>
      <c r="D88" s="50" t="str"/>
      <c r="E88" s="50" t="str"/>
      <c r="F88" s="50" t="str"/>
      <c r="G88" s="50" t="str"/>
      <c r="H88" s="50" t="str"/>
      <c r="I88" s="50" t="str"/>
      <c r="J88" s="50" t="str"/>
      <c r="K88" s="71" t="n"/>
      <c r="L88" s="50" t="inlineStr">
        <is>
          <t>待核</t>
        </is>
      </c>
      <c r="M88" s="50" t="inlineStr">
        <is>
          <t>待核</t>
        </is>
      </c>
      <c r="N88" s="57">
        <f>IF(C88="","",IF(AND(F88&lt;&gt;"",G88&lt;&gt;"",H88&lt;&gt;"",I88&lt;&gt;"",L88="是",M88="否"),"计1项",IF(AND(H88&lt;&gt;"",I88&lt;&gt;"",L88="是",M88="否"),"中等证据","保守不计")))</f>
        <v/>
      </c>
      <c r="O88" s="57">
        <f>IF(OR(N88="计1项",N88="中等证据"),1,0)</f>
        <v/>
      </c>
      <c r="P88" s="50" t="str"/>
    </row>
    <row r="89">
      <c r="A89" s="49" t="inlineStr">
        <is>
          <t>CT85</t>
        </is>
      </c>
      <c r="B89" s="50" t="n"/>
      <c r="C89" s="50" t="str"/>
      <c r="D89" s="50" t="str"/>
      <c r="E89" s="50" t="str"/>
      <c r="F89" s="50" t="str"/>
      <c r="G89" s="50" t="str"/>
      <c r="H89" s="50" t="str"/>
      <c r="I89" s="50" t="str"/>
      <c r="J89" s="50" t="str"/>
      <c r="K89" s="71" t="n"/>
      <c r="L89" s="50" t="inlineStr">
        <is>
          <t>待核</t>
        </is>
      </c>
      <c r="M89" s="50" t="inlineStr">
        <is>
          <t>待核</t>
        </is>
      </c>
      <c r="N89" s="57">
        <f>IF(C89="","",IF(AND(F89&lt;&gt;"",G89&lt;&gt;"",H89&lt;&gt;"",I89&lt;&gt;"",L89="是",M89="否"),"计1项",IF(AND(H89&lt;&gt;"",I89&lt;&gt;"",L89="是",M89="否"),"中等证据","保守不计")))</f>
        <v/>
      </c>
      <c r="O89" s="57">
        <f>IF(OR(N89="计1项",N89="中等证据"),1,0)</f>
        <v/>
      </c>
      <c r="P89" s="50" t="str"/>
    </row>
    <row r="90">
      <c r="A90" s="49" t="inlineStr">
        <is>
          <t>CT86</t>
        </is>
      </c>
      <c r="B90" s="50" t="n"/>
      <c r="C90" s="50" t="str"/>
      <c r="D90" s="50" t="str"/>
      <c r="E90" s="50" t="str"/>
      <c r="F90" s="50" t="str"/>
      <c r="G90" s="50" t="str"/>
      <c r="H90" s="50" t="str"/>
      <c r="I90" s="50" t="str"/>
      <c r="J90" s="50" t="str"/>
      <c r="K90" s="71" t="n"/>
      <c r="L90" s="50" t="inlineStr">
        <is>
          <t>待核</t>
        </is>
      </c>
      <c r="M90" s="50" t="inlineStr">
        <is>
          <t>待核</t>
        </is>
      </c>
      <c r="N90" s="57">
        <f>IF(C90="","",IF(AND(F90&lt;&gt;"",G90&lt;&gt;"",H90&lt;&gt;"",I90&lt;&gt;"",L90="是",M90="否"),"计1项",IF(AND(H90&lt;&gt;"",I90&lt;&gt;"",L90="是",M90="否"),"中等证据","保守不计")))</f>
        <v/>
      </c>
      <c r="O90" s="57">
        <f>IF(OR(N90="计1项",N90="中等证据"),1,0)</f>
        <v/>
      </c>
      <c r="P90" s="50" t="str"/>
    </row>
    <row r="91">
      <c r="A91" s="49" t="inlineStr">
        <is>
          <t>CT87</t>
        </is>
      </c>
      <c r="B91" s="50" t="n"/>
      <c r="C91" s="50" t="str"/>
      <c r="D91" s="50" t="str"/>
      <c r="E91" s="50" t="str"/>
      <c r="F91" s="50" t="str"/>
      <c r="G91" s="50" t="str"/>
      <c r="H91" s="50" t="str"/>
      <c r="I91" s="50" t="str"/>
      <c r="J91" s="50" t="str"/>
      <c r="K91" s="71" t="n"/>
      <c r="L91" s="50" t="inlineStr">
        <is>
          <t>待核</t>
        </is>
      </c>
      <c r="M91" s="50" t="inlineStr">
        <is>
          <t>待核</t>
        </is>
      </c>
      <c r="N91" s="57">
        <f>IF(C91="","",IF(AND(F91&lt;&gt;"",G91&lt;&gt;"",H91&lt;&gt;"",I91&lt;&gt;"",L91="是",M91="否"),"计1项",IF(AND(H91&lt;&gt;"",I91&lt;&gt;"",L91="是",M91="否"),"中等证据","保守不计")))</f>
        <v/>
      </c>
      <c r="O91" s="57">
        <f>IF(OR(N91="计1项",N91="中等证据"),1,0)</f>
        <v/>
      </c>
      <c r="P91" s="50" t="str"/>
    </row>
    <row r="92">
      <c r="A92" s="49" t="inlineStr">
        <is>
          <t>CT88</t>
        </is>
      </c>
      <c r="B92" s="50" t="n"/>
      <c r="C92" s="50" t="str"/>
      <c r="D92" s="50" t="str"/>
      <c r="E92" s="50" t="str"/>
      <c r="F92" s="50" t="str"/>
      <c r="G92" s="50" t="str"/>
      <c r="H92" s="50" t="str"/>
      <c r="I92" s="50" t="str"/>
      <c r="J92" s="50" t="str"/>
      <c r="K92" s="71" t="n"/>
      <c r="L92" s="50" t="inlineStr">
        <is>
          <t>待核</t>
        </is>
      </c>
      <c r="M92" s="50" t="inlineStr">
        <is>
          <t>待核</t>
        </is>
      </c>
      <c r="N92" s="57">
        <f>IF(C92="","",IF(AND(F92&lt;&gt;"",G92&lt;&gt;"",H92&lt;&gt;"",I92&lt;&gt;"",L92="是",M92="否"),"计1项",IF(AND(H92&lt;&gt;"",I92&lt;&gt;"",L92="是",M92="否"),"中等证据","保守不计")))</f>
        <v/>
      </c>
      <c r="O92" s="57">
        <f>IF(OR(N92="计1项",N92="中等证据"),1,0)</f>
        <v/>
      </c>
      <c r="P92" s="50" t="str"/>
    </row>
    <row r="93">
      <c r="A93" s="49" t="inlineStr">
        <is>
          <t>CT89</t>
        </is>
      </c>
      <c r="B93" s="50" t="n"/>
      <c r="C93" s="50" t="str"/>
      <c r="D93" s="50" t="str"/>
      <c r="E93" s="50" t="str"/>
      <c r="F93" s="50" t="str"/>
      <c r="G93" s="50" t="str"/>
      <c r="H93" s="50" t="str"/>
      <c r="I93" s="50" t="str"/>
      <c r="J93" s="50" t="str"/>
      <c r="K93" s="71" t="n"/>
      <c r="L93" s="50" t="inlineStr">
        <is>
          <t>待核</t>
        </is>
      </c>
      <c r="M93" s="50" t="inlineStr">
        <is>
          <t>待核</t>
        </is>
      </c>
      <c r="N93" s="57">
        <f>IF(C93="","",IF(AND(F93&lt;&gt;"",G93&lt;&gt;"",H93&lt;&gt;"",I93&lt;&gt;"",L93="是",M93="否"),"计1项",IF(AND(H93&lt;&gt;"",I93&lt;&gt;"",L93="是",M93="否"),"中等证据","保守不计")))</f>
        <v/>
      </c>
      <c r="O93" s="57">
        <f>IF(OR(N93="计1项",N93="中等证据"),1,0)</f>
        <v/>
      </c>
      <c r="P93" s="50" t="str"/>
    </row>
    <row r="94">
      <c r="A94" s="49" t="inlineStr">
        <is>
          <t>CT90</t>
        </is>
      </c>
      <c r="B94" s="50" t="n"/>
      <c r="C94" s="50" t="str"/>
      <c r="D94" s="50" t="str"/>
      <c r="E94" s="50" t="str"/>
      <c r="F94" s="50" t="str"/>
      <c r="G94" s="50" t="str"/>
      <c r="H94" s="50" t="str"/>
      <c r="I94" s="50" t="str"/>
      <c r="J94" s="50" t="str"/>
      <c r="K94" s="71" t="n"/>
      <c r="L94" s="50" t="inlineStr">
        <is>
          <t>待核</t>
        </is>
      </c>
      <c r="M94" s="50" t="inlineStr">
        <is>
          <t>待核</t>
        </is>
      </c>
      <c r="N94" s="57">
        <f>IF(C94="","",IF(AND(F94&lt;&gt;"",G94&lt;&gt;"",H94&lt;&gt;"",I94&lt;&gt;"",L94="是",M94="否"),"计1项",IF(AND(H94&lt;&gt;"",I94&lt;&gt;"",L94="是",M94="否"),"中等证据","保守不计")))</f>
        <v/>
      </c>
      <c r="O94" s="57">
        <f>IF(OR(N94="计1项",N94="中等证据"),1,0)</f>
        <v/>
      </c>
      <c r="P94" s="50" t="str"/>
    </row>
    <row r="95">
      <c r="A95" s="49" t="inlineStr">
        <is>
          <t>CT91</t>
        </is>
      </c>
      <c r="B95" s="50" t="n"/>
      <c r="C95" s="50" t="str"/>
      <c r="D95" s="50" t="str"/>
      <c r="E95" s="50" t="str"/>
      <c r="F95" s="50" t="str"/>
      <c r="G95" s="50" t="str"/>
      <c r="H95" s="50" t="str"/>
      <c r="I95" s="50" t="str"/>
      <c r="J95" s="50" t="str"/>
      <c r="K95" s="71" t="n"/>
      <c r="L95" s="50" t="inlineStr">
        <is>
          <t>待核</t>
        </is>
      </c>
      <c r="M95" s="50" t="inlineStr">
        <is>
          <t>待核</t>
        </is>
      </c>
      <c r="N95" s="57">
        <f>IF(C95="","",IF(AND(F95&lt;&gt;"",G95&lt;&gt;"",H95&lt;&gt;"",I95&lt;&gt;"",L95="是",M95="否"),"计1项",IF(AND(H95&lt;&gt;"",I95&lt;&gt;"",L95="是",M95="否"),"中等证据","保守不计")))</f>
        <v/>
      </c>
      <c r="O95" s="57">
        <f>IF(OR(N95="计1项",N95="中等证据"),1,0)</f>
        <v/>
      </c>
      <c r="P95" s="50" t="str"/>
    </row>
    <row r="96">
      <c r="A96" s="49" t="inlineStr">
        <is>
          <t>CT92</t>
        </is>
      </c>
      <c r="B96" s="50" t="n"/>
      <c r="C96" s="50" t="str"/>
      <c r="D96" s="50" t="str"/>
      <c r="E96" s="50" t="str"/>
      <c r="F96" s="50" t="str"/>
      <c r="G96" s="50" t="str"/>
      <c r="H96" s="50" t="str"/>
      <c r="I96" s="50" t="str"/>
      <c r="J96" s="50" t="str"/>
      <c r="K96" s="71" t="n"/>
      <c r="L96" s="50" t="inlineStr">
        <is>
          <t>待核</t>
        </is>
      </c>
      <c r="M96" s="50" t="inlineStr">
        <is>
          <t>待核</t>
        </is>
      </c>
      <c r="N96" s="57">
        <f>IF(C96="","",IF(AND(F96&lt;&gt;"",G96&lt;&gt;"",H96&lt;&gt;"",I96&lt;&gt;"",L96="是",M96="否"),"计1项",IF(AND(H96&lt;&gt;"",I96&lt;&gt;"",L96="是",M96="否"),"中等证据","保守不计")))</f>
        <v/>
      </c>
      <c r="O96" s="57">
        <f>IF(OR(N96="计1项",N96="中等证据"),1,0)</f>
        <v/>
      </c>
      <c r="P96" s="50" t="str"/>
    </row>
    <row r="97">
      <c r="A97" s="49" t="inlineStr">
        <is>
          <t>CT93</t>
        </is>
      </c>
      <c r="B97" s="50" t="n"/>
      <c r="C97" s="50" t="str"/>
      <c r="D97" s="50" t="str"/>
      <c r="E97" s="50" t="str"/>
      <c r="F97" s="50" t="str"/>
      <c r="G97" s="50" t="str"/>
      <c r="H97" s="50" t="str"/>
      <c r="I97" s="50" t="str"/>
      <c r="J97" s="50" t="str"/>
      <c r="K97" s="71" t="n"/>
      <c r="L97" s="50" t="inlineStr">
        <is>
          <t>待核</t>
        </is>
      </c>
      <c r="M97" s="50" t="inlineStr">
        <is>
          <t>待核</t>
        </is>
      </c>
      <c r="N97" s="57">
        <f>IF(C97="","",IF(AND(F97&lt;&gt;"",G97&lt;&gt;"",H97&lt;&gt;"",I97&lt;&gt;"",L97="是",M97="否"),"计1项",IF(AND(H97&lt;&gt;"",I97&lt;&gt;"",L97="是",M97="否"),"中等证据","保守不计")))</f>
        <v/>
      </c>
      <c r="O97" s="57">
        <f>IF(OR(N97="计1项",N97="中等证据"),1,0)</f>
        <v/>
      </c>
      <c r="P97" s="50" t="str"/>
    </row>
    <row r="98">
      <c r="A98" s="49" t="inlineStr">
        <is>
          <t>CT94</t>
        </is>
      </c>
      <c r="B98" s="50" t="n"/>
      <c r="C98" s="50" t="str"/>
      <c r="D98" s="50" t="str"/>
      <c r="E98" s="50" t="str"/>
      <c r="F98" s="50" t="str"/>
      <c r="G98" s="50" t="str"/>
      <c r="H98" s="50" t="str"/>
      <c r="I98" s="50" t="str"/>
      <c r="J98" s="50" t="str"/>
      <c r="K98" s="71" t="n"/>
      <c r="L98" s="50" t="inlineStr">
        <is>
          <t>待核</t>
        </is>
      </c>
      <c r="M98" s="50" t="inlineStr">
        <is>
          <t>待核</t>
        </is>
      </c>
      <c r="N98" s="57">
        <f>IF(C98="","",IF(AND(F98&lt;&gt;"",G98&lt;&gt;"",H98&lt;&gt;"",I98&lt;&gt;"",L98="是",M98="否"),"计1项",IF(AND(H98&lt;&gt;"",I98&lt;&gt;"",L98="是",M98="否"),"中等证据","保守不计")))</f>
        <v/>
      </c>
      <c r="O98" s="57">
        <f>IF(OR(N98="计1项",N98="中等证据"),1,0)</f>
        <v/>
      </c>
      <c r="P98" s="50" t="str"/>
    </row>
    <row r="99">
      <c r="A99" s="49" t="inlineStr">
        <is>
          <t>CT95</t>
        </is>
      </c>
      <c r="B99" s="50" t="n"/>
      <c r="C99" s="50" t="str"/>
      <c r="D99" s="50" t="str"/>
      <c r="E99" s="50" t="str"/>
      <c r="F99" s="50" t="str"/>
      <c r="G99" s="50" t="str"/>
      <c r="H99" s="50" t="str"/>
      <c r="I99" s="50" t="str"/>
      <c r="J99" s="50" t="str"/>
      <c r="K99" s="71" t="n"/>
      <c r="L99" s="50" t="inlineStr">
        <is>
          <t>待核</t>
        </is>
      </c>
      <c r="M99" s="50" t="inlineStr">
        <is>
          <t>待核</t>
        </is>
      </c>
      <c r="N99" s="57">
        <f>IF(C99="","",IF(AND(F99&lt;&gt;"",G99&lt;&gt;"",H99&lt;&gt;"",I99&lt;&gt;"",L99="是",M99="否"),"计1项",IF(AND(H99&lt;&gt;"",I99&lt;&gt;"",L99="是",M99="否"),"中等证据","保守不计")))</f>
        <v/>
      </c>
      <c r="O99" s="57">
        <f>IF(OR(N99="计1项",N99="中等证据"),1,0)</f>
        <v/>
      </c>
      <c r="P99" s="50" t="str"/>
    </row>
    <row r="100">
      <c r="A100" s="49" t="inlineStr">
        <is>
          <t>CT96</t>
        </is>
      </c>
      <c r="B100" s="50" t="n"/>
      <c r="C100" s="50" t="str"/>
      <c r="D100" s="50" t="str"/>
      <c r="E100" s="50" t="str"/>
      <c r="F100" s="50" t="str"/>
      <c r="G100" s="50" t="str"/>
      <c r="H100" s="50" t="str"/>
      <c r="I100" s="50" t="str"/>
      <c r="J100" s="50" t="str"/>
      <c r="K100" s="71" t="n"/>
      <c r="L100" s="50" t="inlineStr">
        <is>
          <t>待核</t>
        </is>
      </c>
      <c r="M100" s="50" t="inlineStr">
        <is>
          <t>待核</t>
        </is>
      </c>
      <c r="N100" s="57">
        <f>IF(C100="","",IF(AND(F100&lt;&gt;"",G100&lt;&gt;"",H100&lt;&gt;"",I100&lt;&gt;"",L100="是",M100="否"),"计1项",IF(AND(H100&lt;&gt;"",I100&lt;&gt;"",L100="是",M100="否"),"中等证据","保守不计")))</f>
        <v/>
      </c>
      <c r="O100" s="57">
        <f>IF(OR(N100="计1项",N100="中等证据"),1,0)</f>
        <v/>
      </c>
      <c r="P100" s="50" t="str"/>
    </row>
    <row r="101">
      <c r="A101" s="49" t="inlineStr">
        <is>
          <t>CT97</t>
        </is>
      </c>
      <c r="B101" s="50" t="n"/>
      <c r="C101" s="50" t="str"/>
      <c r="D101" s="50" t="str"/>
      <c r="E101" s="50" t="str"/>
      <c r="F101" s="50" t="str"/>
      <c r="G101" s="50" t="str"/>
      <c r="H101" s="50" t="str"/>
      <c r="I101" s="50" t="str"/>
      <c r="J101" s="50" t="str"/>
      <c r="K101" s="71" t="n"/>
      <c r="L101" s="50" t="inlineStr">
        <is>
          <t>待核</t>
        </is>
      </c>
      <c r="M101" s="50" t="inlineStr">
        <is>
          <t>待核</t>
        </is>
      </c>
      <c r="N101" s="57">
        <f>IF(C101="","",IF(AND(F101&lt;&gt;"",G101&lt;&gt;"",H101&lt;&gt;"",I101&lt;&gt;"",L101="是",M101="否"),"计1项",IF(AND(H101&lt;&gt;"",I101&lt;&gt;"",L101="是",M101="否"),"中等证据","保守不计")))</f>
        <v/>
      </c>
      <c r="O101" s="57">
        <f>IF(OR(N101="计1项",N101="中等证据"),1,0)</f>
        <v/>
      </c>
      <c r="P101" s="50" t="str"/>
    </row>
    <row r="102">
      <c r="A102" s="49" t="inlineStr">
        <is>
          <t>CT98</t>
        </is>
      </c>
      <c r="B102" s="50" t="n"/>
      <c r="C102" s="50" t="str"/>
      <c r="D102" s="50" t="str"/>
      <c r="E102" s="50" t="str"/>
      <c r="F102" s="50" t="str"/>
      <c r="G102" s="50" t="str"/>
      <c r="H102" s="50" t="str"/>
      <c r="I102" s="50" t="str"/>
      <c r="J102" s="50" t="str"/>
      <c r="K102" s="71" t="n"/>
      <c r="L102" s="50" t="inlineStr">
        <is>
          <t>待核</t>
        </is>
      </c>
      <c r="M102" s="50" t="inlineStr">
        <is>
          <t>待核</t>
        </is>
      </c>
      <c r="N102" s="57">
        <f>IF(C102="","",IF(AND(F102&lt;&gt;"",G102&lt;&gt;"",H102&lt;&gt;"",I102&lt;&gt;"",L102="是",M102="否"),"计1项",IF(AND(H102&lt;&gt;"",I102&lt;&gt;"",L102="是",M102="否"),"中等证据","保守不计")))</f>
        <v/>
      </c>
      <c r="O102" s="57">
        <f>IF(OR(N102="计1项",N102="中等证据"),1,0)</f>
        <v/>
      </c>
      <c r="P102" s="50" t="str"/>
    </row>
    <row r="103">
      <c r="A103" s="49" t="inlineStr">
        <is>
          <t>CT99</t>
        </is>
      </c>
      <c r="B103" s="50" t="n"/>
      <c r="C103" s="50" t="str"/>
      <c r="D103" s="50" t="str"/>
      <c r="E103" s="50" t="str"/>
      <c r="F103" s="50" t="str"/>
      <c r="G103" s="50" t="str"/>
      <c r="H103" s="50" t="str"/>
      <c r="I103" s="50" t="str"/>
      <c r="J103" s="50" t="str"/>
      <c r="K103" s="71" t="n"/>
      <c r="L103" s="50" t="inlineStr">
        <is>
          <t>待核</t>
        </is>
      </c>
      <c r="M103" s="50" t="inlineStr">
        <is>
          <t>待核</t>
        </is>
      </c>
      <c r="N103" s="57">
        <f>IF(C103="","",IF(AND(F103&lt;&gt;"",G103&lt;&gt;"",H103&lt;&gt;"",I103&lt;&gt;"",L103="是",M103="否"),"计1项",IF(AND(H103&lt;&gt;"",I103&lt;&gt;"",L103="是",M103="否"),"中等证据","保守不计")))</f>
        <v/>
      </c>
      <c r="O103" s="57">
        <f>IF(OR(N103="计1项",N103="中等证据"),1,0)</f>
        <v/>
      </c>
      <c r="P103" s="50" t="str"/>
    </row>
    <row r="104">
      <c r="A104" s="49" t="inlineStr">
        <is>
          <t>CT100</t>
        </is>
      </c>
      <c r="B104" s="50" t="n"/>
      <c r="C104" s="50" t="str"/>
      <c r="D104" s="50" t="str"/>
      <c r="E104" s="50" t="str"/>
      <c r="F104" s="50" t="str"/>
      <c r="G104" s="50" t="str"/>
      <c r="H104" s="50" t="str"/>
      <c r="I104" s="50" t="str"/>
      <c r="J104" s="50" t="str"/>
      <c r="K104" s="71" t="n"/>
      <c r="L104" s="50" t="inlineStr">
        <is>
          <t>待核</t>
        </is>
      </c>
      <c r="M104" s="50" t="inlineStr">
        <is>
          <t>待核</t>
        </is>
      </c>
      <c r="N104" s="57">
        <f>IF(C104="","",IF(AND(F104&lt;&gt;"",G104&lt;&gt;"",H104&lt;&gt;"",I104&lt;&gt;"",L104="是",M104="否"),"计1项",IF(AND(H104&lt;&gt;"",I104&lt;&gt;"",L104="是",M104="否"),"中等证据","保守不计")))</f>
        <v/>
      </c>
      <c r="O104" s="57">
        <f>IF(OR(N104="计1项",N104="中等证据"),1,0)</f>
        <v/>
      </c>
      <c r="P104" s="50" t="str"/>
    </row>
  </sheetData>
  <mergeCells count="2">
    <mergeCell ref="A1:P1"/>
    <mergeCell ref="A2:P2"/>
  </mergeCells>
  <conditionalFormatting sqref="N5:N104">
    <cfRule type="containsText" priority="1" operator="containsText" dxfId="0" text="计1项"/>
    <cfRule type="containsText" priority="2" operator="containsText" dxfId="1" text="不计"/>
  </conditionalFormatting>
  <dataValidations count="3">
    <dataValidation sqref="B5:B104" showDropDown="0" showInputMessage="0" showErrorMessage="0" allowBlank="0" type="whole" operator="between">
      <formula1>2000</formula1>
      <formula2>2100</formula2>
    </dataValidation>
    <dataValidation sqref="D5:D104" showDropDown="0" showInputMessage="0" showErrorMessage="0" allowBlank="0" type="list">
      <formula1>"专利,软件著作权,技术诀窍,配方,工艺,研发项目成果,其他"</formula1>
    </dataValidation>
    <dataValidation sqref="L5:M104" showDropDown="0" showInputMessage="0" showErrorMessage="0" allowBlank="0" type="list">
      <formula1>"是,否,待核"</formula1>
    </dataValidation>
  </dataValidations>
  <pageMargins left="0.3" right="0.3" top="0.3" bottom="0.3" header="0.3" footer="0.3"/>
  <pageSetup orientation="landscape" paperSize="8" fitToHeight="0" fitToWidth="1" pageOrder="downThenOver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4" customWidth="1" min="4" max="4"/>
    <col width="36" customWidth="1" min="5" max="5"/>
    <col width="15" customWidth="1" min="6" max="6"/>
    <col width="12" customWidth="1" min="7" max="7"/>
    <col width="12" customWidth="1" min="8" max="8"/>
    <col width="12" customWidth="1" min="9" max="9"/>
    <col width="16" customWidth="1" min="10" max="10"/>
    <col width="36" customWidth="1" min="11" max="11"/>
  </cols>
  <sheetData>
    <row r="1" ht="19.20000076293945" customHeight="1">
      <c r="A1" s="46" t="inlineStr">
        <is>
          <t>研发组织管理证据评分</t>
        </is>
      </c>
    </row>
    <row r="2" ht="15" customHeight="1">
      <c r="A2" s="40" t="inlineStr">
        <is>
          <t>内部拆分仅用于预评估。保守分必须由真实执行记录支撑，不能以制度文本代替执行。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</row>
    <row r="4" ht="26.39999961853027" customHeight="1">
      <c r="A4" s="48" t="inlineStr">
        <is>
          <t>维度</t>
        </is>
      </c>
      <c r="B4" s="48" t="inlineStr">
        <is>
          <t>核查事项</t>
        </is>
      </c>
      <c r="C4" s="48" t="inlineStr">
        <is>
          <t>参考上限</t>
        </is>
      </c>
      <c r="D4" s="48" t="inlineStr">
        <is>
          <t>事实状态</t>
        </is>
      </c>
      <c r="E4" s="48" t="inlineStr">
        <is>
          <t>直接证据/路径</t>
        </is>
      </c>
      <c r="F4" s="48" t="inlineStr">
        <is>
          <t>执行起始时间</t>
        </is>
      </c>
      <c r="G4" s="48" t="inlineStr">
        <is>
          <t>目标分</t>
        </is>
      </c>
      <c r="H4" s="48" t="inlineStr">
        <is>
          <t>保守分</t>
        </is>
      </c>
      <c r="I4" s="48" t="inlineStr">
        <is>
          <t>压力分</t>
        </is>
      </c>
      <c r="J4" s="48" t="inlineStr">
        <is>
          <t>缺口性质</t>
        </is>
      </c>
      <c r="K4" s="48" t="inlineStr">
        <is>
          <t>补强动作</t>
        </is>
      </c>
    </row>
    <row r="5" ht="39.59999847412109" customHeight="1">
      <c r="A5" s="49" t="inlineStr">
        <is>
          <t>研发管理与核算</t>
        </is>
      </c>
      <c r="B5" s="49" t="inlineStr">
        <is>
          <t>制度正式发布、职责清楚</t>
        </is>
      </c>
      <c r="C5" s="74" t="n">
        <v>1</v>
      </c>
      <c r="D5" s="50" t="inlineStr">
        <is>
          <t>待核</t>
        </is>
      </c>
      <c r="E5" s="50" t="str"/>
      <c r="F5" s="70" t="n"/>
      <c r="G5" s="50" t="n"/>
      <c r="H5" s="50" t="n"/>
      <c r="I5" s="50" t="n"/>
      <c r="J5" s="50" t="str"/>
      <c r="K5" s="50" t="str"/>
    </row>
    <row r="6" ht="52.79999923706055" customHeight="1">
      <c r="A6" s="49" t="inlineStr">
        <is>
          <t>研发管理与核算</t>
        </is>
      </c>
      <c r="B6" s="49" t="inlineStr">
        <is>
          <t>真实立项、评审、过程和结题</t>
        </is>
      </c>
      <c r="C6" s="74" t="n">
        <v>2</v>
      </c>
      <c r="D6" s="50" t="inlineStr">
        <is>
          <t>待核</t>
        </is>
      </c>
      <c r="E6" s="50" t="str"/>
      <c r="F6" s="70" t="n"/>
      <c r="G6" s="50" t="n"/>
      <c r="H6" s="50" t="n"/>
      <c r="I6" s="50" t="n"/>
      <c r="J6" s="50" t="str"/>
      <c r="K6" s="50" t="str"/>
    </row>
    <row r="7" ht="39.59999847412109" customHeight="1">
      <c r="A7" s="49" t="inlineStr">
        <is>
          <t>研发管理与核算</t>
        </is>
      </c>
      <c r="B7" s="49" t="inlineStr">
        <is>
          <t>研发核算体系和辅助账</t>
        </is>
      </c>
      <c r="C7" s="74" t="n">
        <v>2</v>
      </c>
      <c r="D7" s="50" t="inlineStr">
        <is>
          <t>待核</t>
        </is>
      </c>
      <c r="E7" s="50" t="str"/>
      <c r="F7" s="70" t="n"/>
      <c r="G7" s="50" t="n"/>
      <c r="H7" s="50" t="n"/>
      <c r="I7" s="50" t="n"/>
      <c r="J7" s="50" t="str"/>
      <c r="K7" s="50" t="str"/>
    </row>
    <row r="8" ht="52.79999923706055" customHeight="1">
      <c r="A8" s="49" t="inlineStr">
        <is>
          <t>研发管理与核算</t>
        </is>
      </c>
      <c r="B8" s="49" t="inlineStr">
        <is>
          <t>项目、人员、费用、成果对应</t>
        </is>
      </c>
      <c r="C8" s="74" t="n">
        <v>1</v>
      </c>
      <c r="D8" s="50" t="inlineStr">
        <is>
          <t>待核</t>
        </is>
      </c>
      <c r="E8" s="50" t="str"/>
      <c r="F8" s="70" t="n"/>
      <c r="G8" s="50" t="n"/>
      <c r="H8" s="50" t="n"/>
      <c r="I8" s="50" t="n"/>
      <c r="J8" s="50" t="str"/>
      <c r="K8" s="50" t="str"/>
    </row>
    <row r="9" ht="39.59999847412109" customHeight="1">
      <c r="A9" s="49" t="inlineStr">
        <is>
          <t>研发机构与条件</t>
        </is>
      </c>
      <c r="B9" s="49" t="inlineStr">
        <is>
          <t>内部研发机构及职责</t>
        </is>
      </c>
      <c r="C9" s="74" t="n">
        <v>2</v>
      </c>
      <c r="D9" s="50" t="inlineStr">
        <is>
          <t>待核</t>
        </is>
      </c>
      <c r="E9" s="50" t="str"/>
      <c r="F9" s="70" t="n"/>
      <c r="G9" s="50" t="n"/>
      <c r="H9" s="50" t="n"/>
      <c r="I9" s="50" t="n"/>
      <c r="J9" s="50" t="str"/>
      <c r="K9" s="50" t="str"/>
    </row>
    <row r="10" ht="52.79999923706055" customHeight="1">
      <c r="A10" s="49" t="inlineStr">
        <is>
          <t>研发机构与条件</t>
        </is>
      </c>
      <c r="B10" s="49" t="inlineStr">
        <is>
          <t>人员、场地、设备和试验条件</t>
        </is>
      </c>
      <c r="C10" s="74" t="n">
        <v>2</v>
      </c>
      <c r="D10" s="50" t="inlineStr">
        <is>
          <t>待核</t>
        </is>
      </c>
      <c r="E10" s="50" t="str"/>
      <c r="F10" s="70" t="n"/>
      <c r="G10" s="50" t="n"/>
      <c r="H10" s="50" t="n"/>
      <c r="I10" s="50" t="n"/>
      <c r="J10" s="50" t="str"/>
      <c r="K10" s="50" t="str"/>
    </row>
    <row r="11" ht="39.59999847412109" customHeight="1">
      <c r="A11" s="49" t="inlineStr">
        <is>
          <t>研发机构与条件</t>
        </is>
      </c>
      <c r="B11" s="49" t="inlineStr">
        <is>
          <t>产学研合作及实际技术交付</t>
        </is>
      </c>
      <c r="C11" s="74" t="n">
        <v>2</v>
      </c>
      <c r="D11" s="50" t="inlineStr">
        <is>
          <t>待核</t>
        </is>
      </c>
      <c r="E11" s="50" t="str"/>
      <c r="F11" s="70" t="n"/>
      <c r="G11" s="50" t="n"/>
      <c r="H11" s="50" t="n"/>
      <c r="I11" s="50" t="n"/>
      <c r="J11" s="50" t="str"/>
      <c r="K11" s="50" t="str"/>
    </row>
    <row r="12" ht="39.59999847412109" customHeight="1">
      <c r="A12" s="49" t="inlineStr">
        <is>
          <t>成果转化与激励</t>
        </is>
      </c>
      <c r="B12" s="49" t="inlineStr">
        <is>
          <t>成果转化组织实施制度</t>
        </is>
      </c>
      <c r="C12" s="74" t="n">
        <v>1</v>
      </c>
      <c r="D12" s="50" t="inlineStr">
        <is>
          <t>待核</t>
        </is>
      </c>
      <c r="E12" s="50" t="str"/>
      <c r="F12" s="70" t="n"/>
      <c r="G12" s="50" t="n"/>
      <c r="H12" s="50" t="n"/>
      <c r="I12" s="50" t="n"/>
      <c r="J12" s="50" t="str"/>
      <c r="K12" s="50" t="str"/>
    </row>
    <row r="13" ht="26.39999961853027" customHeight="1">
      <c r="A13" s="49" t="inlineStr">
        <is>
          <t>成果转化与激励</t>
        </is>
      </c>
      <c r="B13" s="49" t="inlineStr">
        <is>
          <t>激励奖励制度</t>
        </is>
      </c>
      <c r="C13" s="74" t="n">
        <v>1</v>
      </c>
      <c r="D13" s="50" t="inlineStr">
        <is>
          <t>待核</t>
        </is>
      </c>
      <c r="E13" s="50" t="str"/>
      <c r="F13" s="70" t="n"/>
      <c r="G13" s="50" t="n"/>
      <c r="H13" s="50" t="n"/>
      <c r="I13" s="50" t="n"/>
      <c r="J13" s="50" t="str"/>
      <c r="K13" s="50" t="str"/>
    </row>
    <row r="14" ht="26.39999961853027" customHeight="1">
      <c r="A14" s="49" t="inlineStr">
        <is>
          <t>成果转化与激励</t>
        </is>
      </c>
      <c r="B14" s="49" t="inlineStr">
        <is>
          <t>实际奖励记录</t>
        </is>
      </c>
      <c r="C14" s="74" t="n">
        <v>1</v>
      </c>
      <c r="D14" s="50" t="inlineStr">
        <is>
          <t>待核</t>
        </is>
      </c>
      <c r="E14" s="50" t="str"/>
      <c r="F14" s="70" t="n"/>
      <c r="G14" s="50" t="n"/>
      <c r="H14" s="50" t="n"/>
      <c r="I14" s="50" t="n"/>
      <c r="J14" s="50" t="str"/>
      <c r="K14" s="50" t="str"/>
    </row>
    <row r="15" ht="39.59999847412109" customHeight="1">
      <c r="A15" s="49" t="inlineStr">
        <is>
          <t>成果转化与激励</t>
        </is>
      </c>
      <c r="B15" s="49" t="inlineStr">
        <is>
          <t>开放创新平台或活动</t>
        </is>
      </c>
      <c r="C15" s="74" t="n">
        <v>1</v>
      </c>
      <c r="D15" s="50" t="inlineStr">
        <is>
          <t>待核</t>
        </is>
      </c>
      <c r="E15" s="50" t="str"/>
      <c r="F15" s="70" t="n"/>
      <c r="G15" s="50" t="n"/>
      <c r="H15" s="50" t="n"/>
      <c r="I15" s="50" t="n"/>
      <c r="J15" s="50" t="str"/>
      <c r="K15" s="50" t="str"/>
    </row>
    <row r="16" ht="39.59999847412109" customHeight="1">
      <c r="A16" s="49" t="inlineStr">
        <is>
          <t>人才培养与绩效</t>
        </is>
      </c>
      <c r="B16" s="49" t="inlineStr">
        <is>
          <t>培养、培训和人才引进</t>
        </is>
      </c>
      <c r="C16" s="74" t="n">
        <v>2</v>
      </c>
      <c r="D16" s="50" t="inlineStr">
        <is>
          <t>待核</t>
        </is>
      </c>
      <c r="E16" s="50" t="str"/>
      <c r="F16" s="70" t="n"/>
      <c r="G16" s="50" t="n"/>
      <c r="H16" s="50" t="n"/>
      <c r="I16" s="50" t="n"/>
      <c r="J16" s="50" t="str"/>
      <c r="K16" s="50" t="str"/>
    </row>
    <row r="17" ht="39.59999847412109" customHeight="1">
      <c r="A17" s="49" t="inlineStr">
        <is>
          <t>人才培养与绩效</t>
        </is>
      </c>
      <c r="B17" s="49" t="inlineStr">
        <is>
          <t>绩效评价及实际奖励</t>
        </is>
      </c>
      <c r="C17" s="74" t="n">
        <v>2</v>
      </c>
      <c r="D17" s="50" t="inlineStr">
        <is>
          <t>待核</t>
        </is>
      </c>
      <c r="E17" s="50" t="str"/>
      <c r="F17" s="70" t="n"/>
      <c r="G17" s="50" t="n"/>
      <c r="H17" s="50" t="n"/>
      <c r="I17" s="50" t="n"/>
      <c r="J17" s="50" t="str"/>
      <c r="K17" s="50" t="str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</row>
    <row r="19" ht="15" customHeight="1">
      <c r="A19" s="48" t="inlineStr">
        <is>
          <t>汇总</t>
        </is>
      </c>
      <c r="B19" s="48" t="inlineStr">
        <is>
          <t>参考上限</t>
        </is>
      </c>
      <c r="C19" s="48" t="inlineStr">
        <is>
          <t>目标分</t>
        </is>
      </c>
      <c r="D19" s="48" t="inlineStr">
        <is>
          <t>保守分</t>
        </is>
      </c>
      <c r="E19" s="48" t="inlineStr">
        <is>
          <t>压力分</t>
        </is>
      </c>
      <c r="F19" s="48" t="inlineStr">
        <is>
          <t>校验</t>
        </is>
      </c>
      <c r="G19" s="47" t="n"/>
      <c r="H19" s="47" t="n"/>
      <c r="I19" s="47" t="n"/>
      <c r="J19" s="47" t="n"/>
      <c r="K19" s="47" t="n"/>
    </row>
    <row r="20" ht="15" customHeight="1">
      <c r="A20" s="47" t="inlineStr">
        <is>
          <t>研发组织管理合计</t>
        </is>
      </c>
      <c r="B20" s="57">
        <f>SUM(C5:C17)</f>
        <v/>
      </c>
      <c r="C20" s="57">
        <f>SUM(G5:G17)</f>
        <v/>
      </c>
      <c r="D20" s="57">
        <f>SUM(H5:H17)</f>
        <v/>
      </c>
      <c r="E20" s="57">
        <f>SUM(I5:I17)</f>
        <v/>
      </c>
      <c r="F20" s="57">
        <f>IF(AND(E20&lt;=D20,D20&lt;=C20,C20&lt;=B20),"通过","检查压力≤保守≤目标及上限")</f>
        <v/>
      </c>
      <c r="G20" s="47" t="n"/>
      <c r="H20" s="47" t="n"/>
      <c r="I20" s="47" t="n"/>
      <c r="J20" s="47" t="n"/>
      <c r="K20" s="47" t="n"/>
    </row>
    <row r="21" ht="26.39999961853027" customHeight="1">
      <c r="A21" s="47" t="inlineStr">
        <is>
          <t>关系校验</t>
        </is>
      </c>
      <c r="B21" s="57" t="str"/>
      <c r="C21" s="57" t="str"/>
      <c r="D21" s="57" t="str"/>
      <c r="E21" s="57" t="str"/>
      <c r="F21" s="57">
        <f>IF(COUNTIF(D5:D17,"待核")&gt;0,"仍有待核项","状态已填写")</f>
        <v/>
      </c>
      <c r="G21" s="47" t="n"/>
      <c r="H21" s="47" t="n"/>
      <c r="I21" s="47" t="n"/>
      <c r="J21" s="47" t="n"/>
      <c r="K21" s="47" t="n"/>
    </row>
    <row r="22" ht="26.39999961853027" customHeight="1">
      <c r="A22" s="47" t="inlineStr">
        <is>
          <t>结论</t>
        </is>
      </c>
      <c r="B22" s="57" t="str"/>
      <c r="C22" s="57" t="str"/>
      <c r="D22" s="57" t="str"/>
      <c r="E22" s="57" t="str"/>
      <c r="F22" s="57">
        <f>IF(F20&lt;&gt;"通过","不可用于评分",IF(D20&gt;=18,"证据较强",IF(D20&gt;=16,"存在压分风险","需实质补强")))</f>
        <v/>
      </c>
      <c r="G22" s="47" t="n"/>
      <c r="H22" s="47" t="n"/>
      <c r="I22" s="47" t="n"/>
      <c r="J22" s="47" t="n"/>
      <c r="K22" s="47" t="n"/>
    </row>
  </sheetData>
  <mergeCells count="2">
    <mergeCell ref="A2:K2"/>
    <mergeCell ref="A1:K1"/>
  </mergeCells>
  <dataValidations count="3">
    <dataValidation sqref="D5:D17" showDropDown="0" showInputMessage="0" showErrorMessage="0" allowBlank="0" type="list">
      <formula1>"已执行,仅有制度,未执行,待核"</formula1>
    </dataValidation>
    <dataValidation sqref="G5:I17" showDropDown="0" showInputMessage="0" showErrorMessage="0" allowBlank="0" type="decimal" operator="between">
      <formula1>0</formula1>
      <formula2>2</formula2>
    </dataValidation>
    <dataValidation sqref="J5:J17" showDropDown="0" showInputMessage="0" showErrorMessage="0" allowBlank="0" type="list">
      <formula1>"证据补强,事实补强,无缺口,待核"</formula1>
    </dataValidation>
  </dataValidations>
  <pageMargins left="0.3" right="0.3" top="0.3" bottom="0.3" header="0.3" footer="0.3"/>
  <pageSetup orientation="landscape" paperSize="8" fitToHeight="0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8" customWidth="1" min="9" max="9"/>
    <col width="34" customWidth="1" min="10" max="10"/>
  </cols>
  <sheetData>
    <row r="1" ht="19.20000076293945" customHeight="1">
      <c r="A1" s="46" t="inlineStr">
        <is>
          <t>双年度评分与申报建议</t>
        </is>
      </c>
    </row>
    <row r="2" ht="15" customHeight="1">
      <c r="A2" s="40" t="inlineStr">
        <is>
          <t>以保守分作为主要决策依据，以压力分识别专家争议；知识产权三档分需按证据规则人工评定。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</row>
    <row r="4" ht="26.39999961853027" customHeight="1">
      <c r="A4" s="48" t="inlineStr">
        <is>
          <t>指标</t>
        </is>
      </c>
      <c r="B4" s="48" t="inlineStr">
        <is>
          <t>当年目标分</t>
        </is>
      </c>
      <c r="C4" s="48" t="inlineStr">
        <is>
          <t>当年保守分</t>
        </is>
      </c>
      <c r="D4" s="48" t="inlineStr">
        <is>
          <t>当年压力分</t>
        </is>
      </c>
      <c r="E4" s="48" t="inlineStr">
        <is>
          <t>下一年目标分</t>
        </is>
      </c>
      <c r="F4" s="48" t="inlineStr">
        <is>
          <t>下一年保守分</t>
        </is>
      </c>
      <c r="G4" s="48" t="inlineStr">
        <is>
          <t>下一年压力分</t>
        </is>
      </c>
      <c r="H4" s="48" t="inlineStr">
        <is>
          <t>满分</t>
        </is>
      </c>
      <c r="I4" s="48" t="inlineStr">
        <is>
          <t>评分依据</t>
        </is>
      </c>
      <c r="J4" s="48" t="inlineStr">
        <is>
          <t>补强重点</t>
        </is>
      </c>
    </row>
    <row r="5" ht="66" customHeight="1">
      <c r="A5" s="49" t="inlineStr">
        <is>
          <t>知识产权</t>
        </is>
      </c>
      <c r="B5" s="50" t="n"/>
      <c r="C5" s="50" t="n"/>
      <c r="D5" s="50" t="n"/>
      <c r="E5" s="50" t="n"/>
      <c r="F5" s="50" t="n"/>
      <c r="G5" s="50" t="n"/>
      <c r="H5" s="49" t="n">
        <v>30</v>
      </c>
      <c r="I5" s="49" t="inlineStr">
        <is>
          <t>按先进性、核心支持、数量和获得方式评定</t>
        </is>
      </c>
      <c r="J5" s="50" t="str"/>
    </row>
    <row r="6" ht="52.79999923706055" customHeight="1">
      <c r="A6" s="49" t="inlineStr">
        <is>
          <t>科技成果转化</t>
        </is>
      </c>
      <c r="B6" s="57">
        <f>IF(B18&gt;=5,30,IF(B18&gt;=4,24,IF(B18&gt;=3,18,IF(B18&gt;=2,12,IF(B18&gt;=1,6,0)))))</f>
        <v/>
      </c>
      <c r="C6" s="57">
        <f>IF(B18&gt;=5,25,IF(B18&gt;=4,19,IF(B18&gt;=3,13,IF(B18&gt;=2,7,IF(B18&gt;=1,1,0)))))</f>
        <v/>
      </c>
      <c r="D6" s="57">
        <f>IF(C6=0,0,MAX(0,C6-2))</f>
        <v/>
      </c>
      <c r="E6" s="57">
        <f>IF(E18&gt;=5,30,IF(E18&gt;=4,24,IF(E18&gt;=3,18,IF(E18&gt;=2,12,IF(E18&gt;=1,6,0)))))</f>
        <v/>
      </c>
      <c r="F6" s="57">
        <f>IF(E18&gt;=5,25,IF(E18&gt;=4,19,IF(E18&gt;=3,13,IF(E18&gt;=2,7,IF(E18&gt;=1,1,0)))))</f>
        <v/>
      </c>
      <c r="G6" s="57">
        <f>IF(F6=0,0,MAX(0,F6-2))</f>
        <v/>
      </c>
      <c r="H6" s="49" t="n">
        <v>30</v>
      </c>
      <c r="I6" s="49" t="inlineStr">
        <is>
          <t>按近三年年平均数及证据质量评定</t>
        </is>
      </c>
      <c r="J6" s="50" t="str"/>
    </row>
    <row r="7" ht="26.39999961853027" customHeight="1">
      <c r="A7" s="49" t="inlineStr">
        <is>
          <t>研发组织管理</t>
        </is>
      </c>
      <c r="B7" s="57">
        <f>'组织管理'!C20</f>
        <v/>
      </c>
      <c r="C7" s="57">
        <f>'组织管理'!D20</f>
        <v/>
      </c>
      <c r="D7" s="57">
        <f>'组织管理'!E20</f>
        <v/>
      </c>
      <c r="E7" s="57">
        <f>'组织管理'!C20</f>
        <v/>
      </c>
      <c r="F7" s="57">
        <f>'组织管理'!D20</f>
        <v/>
      </c>
      <c r="G7" s="57">
        <f>'组织管理'!E20</f>
        <v/>
      </c>
      <c r="H7" s="49" t="n">
        <v>20</v>
      </c>
      <c r="I7" s="49" t="inlineStr">
        <is>
          <t>从组织管理表汇总</t>
        </is>
      </c>
      <c r="J7" s="50" t="str"/>
    </row>
    <row r="8" ht="26.39999961853027" customHeight="1">
      <c r="A8" s="49" t="inlineStr">
        <is>
          <t>企业成长性</t>
        </is>
      </c>
      <c r="B8" s="57">
        <f>IF('财务与成长性'!B25&lt;=0,0,IF('财务与成长性'!B25&gt;=35%,10,IF('财务与成长性'!B25&gt;=25%,8,IF('财务与成长性'!B25&gt;=15%,6,IF('财务与成长性'!B25&gt;=5%,4,2)))))+IF('财务与成长性'!B26&lt;=0,0,IF('财务与成长性'!B26&gt;=35%,10,IF('财务与成长性'!B26&gt;=25%,8,IF('财务与成长性'!B26&gt;=15%,6,IF('财务与成长性'!B26&gt;=5%,4,2)))))</f>
        <v/>
      </c>
      <c r="C8" s="57">
        <f>'财务与成长性'!D25+'财务与成长性'!D26</f>
        <v/>
      </c>
      <c r="D8" s="57">
        <f>C8</f>
        <v/>
      </c>
      <c r="E8" s="57">
        <f>IF('财务与成长性'!E25&lt;=0,0,IF('财务与成长性'!E25&gt;=35%,10,IF('财务与成长性'!E25&gt;=25%,8,IF('财务与成长性'!E25&gt;=15%,6,IF('财务与成长性'!E25&gt;=5%,4,2)))))+IF('财务与成长性'!E26&lt;=0,0,IF('财务与成长性'!E26&gt;=35%,10,IF('财务与成长性'!E26&gt;=25%,8,IF('财务与成长性'!E26&gt;=15%,6,IF('财务与成长性'!E26&gt;=5%,4,2)))))</f>
        <v/>
      </c>
      <c r="F8" s="57">
        <f>'财务与成长性'!G25+'财务与成长性'!G26</f>
        <v/>
      </c>
      <c r="G8" s="57">
        <f>F8</f>
        <v/>
      </c>
      <c r="H8" s="49" t="n">
        <v>20</v>
      </c>
      <c r="I8" s="49" t="inlineStr">
        <is>
          <t>从财务表自动计算</t>
        </is>
      </c>
      <c r="J8" s="50" t="str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</row>
    <row r="10" ht="26.39999961853027" customHeight="1">
      <c r="A10" s="48" t="inlineStr">
        <is>
          <t>汇总</t>
        </is>
      </c>
      <c r="B10" s="48" t="inlineStr">
        <is>
          <t>当年目标</t>
        </is>
      </c>
      <c r="C10" s="48" t="inlineStr">
        <is>
          <t>当年保守</t>
        </is>
      </c>
      <c r="D10" s="48" t="inlineStr">
        <is>
          <t>当年压力</t>
        </is>
      </c>
      <c r="E10" s="48" t="inlineStr">
        <is>
          <t>下一年目标</t>
        </is>
      </c>
      <c r="F10" s="48" t="inlineStr">
        <is>
          <t>下一年保守</t>
        </is>
      </c>
      <c r="G10" s="48" t="inlineStr">
        <is>
          <t>下一年压力</t>
        </is>
      </c>
      <c r="H10" s="48" t="inlineStr">
        <is>
          <t>满分</t>
        </is>
      </c>
      <c r="I10" s="47" t="n"/>
      <c r="J10" s="47" t="n"/>
    </row>
    <row r="11" ht="15" customHeight="1">
      <c r="A11" s="47" t="inlineStr">
        <is>
          <t>总分</t>
        </is>
      </c>
      <c r="B11" s="57">
        <f>SUM(B5:B8)</f>
        <v/>
      </c>
      <c r="C11" s="57">
        <f>SUM(C5:C8)</f>
        <v/>
      </c>
      <c r="D11" s="57">
        <f>SUM(D5:D8)</f>
        <v/>
      </c>
      <c r="E11" s="57">
        <f>SUM(E5:E8)</f>
        <v/>
      </c>
      <c r="F11" s="57">
        <f>SUM(F5:F8)</f>
        <v/>
      </c>
      <c r="G11" s="57">
        <f>SUM(G5:G8)</f>
        <v/>
      </c>
      <c r="H11" s="47" t="n">
        <v>100</v>
      </c>
      <c r="I11" s="47" t="n"/>
      <c r="J11" s="47" t="n"/>
    </row>
    <row r="12" ht="15" customHeight="1">
      <c r="A12" s="47" t="inlineStr">
        <is>
          <t>硬门槛</t>
        </is>
      </c>
      <c r="B12" s="57">
        <f>'基础与硬门槛'!B25</f>
        <v/>
      </c>
      <c r="C12" s="57" t="str"/>
      <c r="D12" s="57" t="str"/>
      <c r="E12" s="57">
        <f>'基础与硬门槛'!B26</f>
        <v/>
      </c>
      <c r="F12" s="57" t="str"/>
      <c r="G12" s="57" t="str"/>
      <c r="H12" s="47" t="str"/>
      <c r="I12" s="47" t="n"/>
      <c r="J12" s="47" t="n"/>
    </row>
    <row r="13" ht="15" customHeight="1">
      <c r="A13" s="47" t="inlineStr">
        <is>
          <t>建议</t>
        </is>
      </c>
      <c r="B13" s="57">
        <f>IF(B12&lt;&gt;"通过","当年硬门槛未通过或待核，先整改",IF(C11&gt;=75,IF(D11&gt;=71,"建议今年申报","今年可报但专家争议较大"),IF(C11&gt;=71,"补强后今年申报",IF(AND(E12="通过",F11&gt;=75),"建议明年申报","两年均暂缓或继续补强"))))</f>
        <v/>
      </c>
      <c r="C13" s="75" t="n"/>
      <c r="D13" s="75" t="n"/>
      <c r="E13" s="75" t="n"/>
      <c r="F13" s="75" t="n"/>
      <c r="G13" s="75" t="n"/>
      <c r="H13" s="76" t="n"/>
      <c r="I13" s="47" t="n"/>
      <c r="J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 ht="15" customHeight="1">
      <c r="A15" s="51" t="inlineStr">
        <is>
          <t>滚动窗口计算</t>
        </is>
      </c>
    </row>
    <row r="16" ht="15" customHeight="1">
      <c r="A16" s="48" t="inlineStr">
        <is>
          <t>项目</t>
        </is>
      </c>
      <c r="B16" s="48" t="inlineStr">
        <is>
          <t>当年</t>
        </is>
      </c>
      <c r="C16" s="48" t="inlineStr">
        <is>
          <t>说明</t>
        </is>
      </c>
      <c r="D16" s="48" t="str"/>
      <c r="E16" s="48" t="inlineStr">
        <is>
          <t>下一年</t>
        </is>
      </c>
      <c r="F16" s="48" t="inlineStr">
        <is>
          <t>说明</t>
        </is>
      </c>
      <c r="G16" s="48" t="str"/>
      <c r="H16" s="48" t="str"/>
      <c r="I16" s="48" t="str"/>
      <c r="J16" s="48" t="str"/>
    </row>
    <row r="17" ht="15" customHeight="1">
      <c r="A17" s="47" t="inlineStr">
        <is>
          <t>保守有效成果数</t>
        </is>
      </c>
      <c r="B17" s="77">
        <f>SUMIFS('成果转化'!$O$5:$O$104,'成果转化'!$B$5:$B$104,"&gt;="&amp;'财务与成长性'!B5,'成果转化'!$B$5:$B$104,"&lt;="&amp;'财务与成长性'!D5)</f>
        <v/>
      </c>
      <c r="C17" s="47" t="inlineStr">
        <is>
          <t>按三年度计数</t>
        </is>
      </c>
      <c r="D17" s="47" t="str"/>
      <c r="E17" s="77">
        <f>SUMIFS('成果转化'!$O$5:$O$104,'成果转化'!$B$5:$B$104,"&gt;="&amp;'财务与成长性'!C5,'成果转化'!$B$5:$B$104,"&lt;="&amp;'财务与成长性'!E5)</f>
        <v/>
      </c>
      <c r="F17" s="47" t="inlineStr">
        <is>
          <t>按三年度计数</t>
        </is>
      </c>
      <c r="G17" s="47" t="str"/>
      <c r="H17" s="47" t="str"/>
      <c r="I17" s="47" t="str"/>
      <c r="J17" s="47" t="str"/>
    </row>
    <row r="18" ht="15" customHeight="1">
      <c r="A18" s="47" t="inlineStr">
        <is>
          <t>年平均转化数</t>
        </is>
      </c>
      <c r="B18" s="77">
        <f>B17/3</f>
        <v/>
      </c>
      <c r="C18" s="47" t="inlineStr">
        <is>
          <t>用于成果转化评分档</t>
        </is>
      </c>
      <c r="D18" s="47" t="str"/>
      <c r="E18" s="77">
        <f>E17/3</f>
        <v/>
      </c>
      <c r="F18" s="47" t="inlineStr">
        <is>
          <t>用于成果转化评分档</t>
        </is>
      </c>
      <c r="G18" s="47" t="str"/>
      <c r="H18" s="47" t="str"/>
      <c r="I18" s="47" t="str"/>
      <c r="J18" s="47" t="str"/>
    </row>
  </sheetData>
  <mergeCells count="4">
    <mergeCell ref="B13:H13"/>
    <mergeCell ref="A1:J1"/>
    <mergeCell ref="A2:J2"/>
    <mergeCell ref="A15:J15"/>
  </mergeCells>
  <conditionalFormatting sqref="C11:G11">
    <cfRule type="cellIs" priority="1" operator="greaterThanOrEqual" dxfId="4">
      <formula>75</formula>
    </cfRule>
    <cfRule type="cellIs" priority="2" operator="between" dxfId="5">
      <formula>71</formula>
      <formula>74.999</formula>
    </cfRule>
    <cfRule type="cellIs" priority="3" operator="lessThan" dxfId="1">
      <formula>71</formula>
    </cfRule>
  </conditionalFormatting>
  <dataValidations count="1">
    <dataValidation sqref="B5:G5" showDropDown="0" showInputMessage="0" showErrorMessage="0" allowBlank="0" type="decimal" operator="between">
      <formula1>0</formula1>
      <formula2>30</formula2>
    </dataValidation>
  </dataValidations>
  <pageMargins left="0.3" right="0.3" top="0.3" bottom="0.3" header="0.3" footer="0.3"/>
  <pageSetup orientation="landscape" paperSize="8" fitToHeight="0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6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14" customWidth="1" min="4" max="4"/>
    <col width="38" customWidth="1" min="5" max="5"/>
    <col width="34" customWidth="1" min="6" max="6"/>
    <col width="12" customWidth="1" min="7" max="7"/>
    <col width="14" customWidth="1" min="8" max="8"/>
    <col width="16" customWidth="1" min="9" max="9"/>
    <col width="14" customWidth="1" min="10" max="10"/>
    <col width="28" customWidth="1" min="11" max="11"/>
  </cols>
  <sheetData>
    <row r="1" ht="34" customHeight="1">
      <c r="A1" s="46" t="inlineStr">
        <is>
          <t>补强计划</t>
        </is>
      </c>
    </row>
    <row r="2" ht="28" customHeight="1">
      <c r="A2" s="40" t="inlineStr">
        <is>
          <t>证据补强用于整理已发生事实；事实补强必须真实执行并持续留痕，不得倒签或补造。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</row>
    <row r="4">
      <c r="A4" s="48" t="inlineStr">
        <is>
          <t>优先级</t>
        </is>
      </c>
      <c r="B4" s="48" t="inlineStr">
        <is>
          <t>缺口</t>
        </is>
      </c>
      <c r="C4" s="48" t="inlineStr">
        <is>
          <t>当前影响</t>
        </is>
      </c>
      <c r="D4" s="48" t="inlineStr">
        <is>
          <t>补强性质</t>
        </is>
      </c>
      <c r="E4" s="48" t="inlineStr">
        <is>
          <t>具体动作</t>
        </is>
      </c>
      <c r="F4" s="48" t="inlineStr">
        <is>
          <t>证据产物</t>
        </is>
      </c>
      <c r="G4" s="48" t="inlineStr">
        <is>
          <t>预计增分</t>
        </is>
      </c>
      <c r="H4" s="48" t="inlineStr">
        <is>
          <t>截止时间</t>
        </is>
      </c>
      <c r="I4" s="48" t="inlineStr">
        <is>
          <t>责任岗位</t>
        </is>
      </c>
      <c r="J4" s="48" t="inlineStr">
        <is>
          <t>完成状态</t>
        </is>
      </c>
      <c r="K4" s="48" t="inlineStr">
        <is>
          <t>复核结果</t>
        </is>
      </c>
    </row>
    <row r="5">
      <c r="A5" s="50" t="inlineStr">
        <is>
          <t>中</t>
        </is>
      </c>
      <c r="B5" s="50" t="str"/>
      <c r="C5" s="50" t="str"/>
      <c r="D5" s="50" t="inlineStr">
        <is>
          <t>待核</t>
        </is>
      </c>
      <c r="E5" s="50" t="str"/>
      <c r="F5" s="50" t="str"/>
      <c r="G5" s="50" t="str"/>
      <c r="H5" s="70" t="n"/>
      <c r="I5" s="50" t="str"/>
      <c r="J5" s="50" t="inlineStr">
        <is>
          <t>未开始</t>
        </is>
      </c>
      <c r="K5" s="50" t="str"/>
    </row>
    <row r="6">
      <c r="A6" s="50" t="inlineStr">
        <is>
          <t>中</t>
        </is>
      </c>
      <c r="B6" s="50" t="str"/>
      <c r="C6" s="50" t="str"/>
      <c r="D6" s="50" t="inlineStr">
        <is>
          <t>待核</t>
        </is>
      </c>
      <c r="E6" s="50" t="str"/>
      <c r="F6" s="50" t="str"/>
      <c r="G6" s="50" t="str"/>
      <c r="H6" s="70" t="n"/>
      <c r="I6" s="50" t="str"/>
      <c r="J6" s="50" t="inlineStr">
        <is>
          <t>未开始</t>
        </is>
      </c>
      <c r="K6" s="50" t="str"/>
    </row>
    <row r="7">
      <c r="A7" s="50" t="inlineStr">
        <is>
          <t>中</t>
        </is>
      </c>
      <c r="B7" s="50" t="str"/>
      <c r="C7" s="50" t="str"/>
      <c r="D7" s="50" t="inlineStr">
        <is>
          <t>待核</t>
        </is>
      </c>
      <c r="E7" s="50" t="str"/>
      <c r="F7" s="50" t="str"/>
      <c r="G7" s="50" t="str"/>
      <c r="H7" s="70" t="n"/>
      <c r="I7" s="50" t="str"/>
      <c r="J7" s="50" t="inlineStr">
        <is>
          <t>未开始</t>
        </is>
      </c>
      <c r="K7" s="50" t="str"/>
    </row>
    <row r="8">
      <c r="A8" s="50" t="inlineStr">
        <is>
          <t>中</t>
        </is>
      </c>
      <c r="B8" s="50" t="str"/>
      <c r="C8" s="50" t="str"/>
      <c r="D8" s="50" t="inlineStr">
        <is>
          <t>待核</t>
        </is>
      </c>
      <c r="E8" s="50" t="str"/>
      <c r="F8" s="50" t="str"/>
      <c r="G8" s="50" t="str"/>
      <c r="H8" s="70" t="n"/>
      <c r="I8" s="50" t="str"/>
      <c r="J8" s="50" t="inlineStr">
        <is>
          <t>未开始</t>
        </is>
      </c>
      <c r="K8" s="50" t="str"/>
    </row>
    <row r="9">
      <c r="A9" s="50" t="inlineStr">
        <is>
          <t>中</t>
        </is>
      </c>
      <c r="B9" s="50" t="str"/>
      <c r="C9" s="50" t="str"/>
      <c r="D9" s="50" t="inlineStr">
        <is>
          <t>待核</t>
        </is>
      </c>
      <c r="E9" s="50" t="str"/>
      <c r="F9" s="50" t="str"/>
      <c r="G9" s="50" t="str"/>
      <c r="H9" s="70" t="n"/>
      <c r="I9" s="50" t="str"/>
      <c r="J9" s="50" t="inlineStr">
        <is>
          <t>未开始</t>
        </is>
      </c>
      <c r="K9" s="50" t="str"/>
    </row>
    <row r="10">
      <c r="A10" s="50" t="inlineStr">
        <is>
          <t>中</t>
        </is>
      </c>
      <c r="B10" s="50" t="str"/>
      <c r="C10" s="50" t="str"/>
      <c r="D10" s="50" t="inlineStr">
        <is>
          <t>待核</t>
        </is>
      </c>
      <c r="E10" s="50" t="str"/>
      <c r="F10" s="50" t="str"/>
      <c r="G10" s="50" t="str"/>
      <c r="H10" s="70" t="n"/>
      <c r="I10" s="50" t="str"/>
      <c r="J10" s="50" t="inlineStr">
        <is>
          <t>未开始</t>
        </is>
      </c>
      <c r="K10" s="50" t="str"/>
    </row>
    <row r="11">
      <c r="A11" s="50" t="inlineStr">
        <is>
          <t>中</t>
        </is>
      </c>
      <c r="B11" s="50" t="str"/>
      <c r="C11" s="50" t="str"/>
      <c r="D11" s="50" t="inlineStr">
        <is>
          <t>待核</t>
        </is>
      </c>
      <c r="E11" s="50" t="str"/>
      <c r="F11" s="50" t="str"/>
      <c r="G11" s="50" t="str"/>
      <c r="H11" s="70" t="n"/>
      <c r="I11" s="50" t="str"/>
      <c r="J11" s="50" t="inlineStr">
        <is>
          <t>未开始</t>
        </is>
      </c>
      <c r="K11" s="50" t="str"/>
    </row>
    <row r="12">
      <c r="A12" s="50" t="inlineStr">
        <is>
          <t>中</t>
        </is>
      </c>
      <c r="B12" s="50" t="str"/>
      <c r="C12" s="50" t="str"/>
      <c r="D12" s="50" t="inlineStr">
        <is>
          <t>待核</t>
        </is>
      </c>
      <c r="E12" s="50" t="str"/>
      <c r="F12" s="50" t="str"/>
      <c r="G12" s="50" t="str"/>
      <c r="H12" s="70" t="n"/>
      <c r="I12" s="50" t="str"/>
      <c r="J12" s="50" t="inlineStr">
        <is>
          <t>未开始</t>
        </is>
      </c>
      <c r="K12" s="50" t="str"/>
    </row>
    <row r="13">
      <c r="A13" s="50" t="inlineStr">
        <is>
          <t>中</t>
        </is>
      </c>
      <c r="B13" s="50" t="str"/>
      <c r="C13" s="50" t="str"/>
      <c r="D13" s="50" t="inlineStr">
        <is>
          <t>待核</t>
        </is>
      </c>
      <c r="E13" s="50" t="str"/>
      <c r="F13" s="50" t="str"/>
      <c r="G13" s="50" t="str"/>
      <c r="H13" s="70" t="n"/>
      <c r="I13" s="50" t="str"/>
      <c r="J13" s="50" t="inlineStr">
        <is>
          <t>未开始</t>
        </is>
      </c>
      <c r="K13" s="50" t="str"/>
    </row>
    <row r="14">
      <c r="A14" s="50" t="inlineStr">
        <is>
          <t>中</t>
        </is>
      </c>
      <c r="B14" s="50" t="str"/>
      <c r="C14" s="50" t="str"/>
      <c r="D14" s="50" t="inlineStr">
        <is>
          <t>待核</t>
        </is>
      </c>
      <c r="E14" s="50" t="str"/>
      <c r="F14" s="50" t="str"/>
      <c r="G14" s="50" t="str"/>
      <c r="H14" s="70" t="n"/>
      <c r="I14" s="50" t="str"/>
      <c r="J14" s="50" t="inlineStr">
        <is>
          <t>未开始</t>
        </is>
      </c>
      <c r="K14" s="50" t="str"/>
    </row>
    <row r="15">
      <c r="A15" s="50" t="inlineStr">
        <is>
          <t>中</t>
        </is>
      </c>
      <c r="B15" s="50" t="str"/>
      <c r="C15" s="50" t="str"/>
      <c r="D15" s="50" t="inlineStr">
        <is>
          <t>待核</t>
        </is>
      </c>
      <c r="E15" s="50" t="str"/>
      <c r="F15" s="50" t="str"/>
      <c r="G15" s="50" t="str"/>
      <c r="H15" s="70" t="n"/>
      <c r="I15" s="50" t="str"/>
      <c r="J15" s="50" t="inlineStr">
        <is>
          <t>未开始</t>
        </is>
      </c>
      <c r="K15" s="50" t="str"/>
    </row>
    <row r="16">
      <c r="A16" s="50" t="inlineStr">
        <is>
          <t>中</t>
        </is>
      </c>
      <c r="B16" s="50" t="str"/>
      <c r="C16" s="50" t="str"/>
      <c r="D16" s="50" t="inlineStr">
        <is>
          <t>待核</t>
        </is>
      </c>
      <c r="E16" s="50" t="str"/>
      <c r="F16" s="50" t="str"/>
      <c r="G16" s="50" t="str"/>
      <c r="H16" s="70" t="n"/>
      <c r="I16" s="50" t="str"/>
      <c r="J16" s="50" t="inlineStr">
        <is>
          <t>未开始</t>
        </is>
      </c>
      <c r="K16" s="50" t="str"/>
    </row>
    <row r="17">
      <c r="A17" s="50" t="inlineStr">
        <is>
          <t>中</t>
        </is>
      </c>
      <c r="B17" s="50" t="str"/>
      <c r="C17" s="50" t="str"/>
      <c r="D17" s="50" t="inlineStr">
        <is>
          <t>待核</t>
        </is>
      </c>
      <c r="E17" s="50" t="str"/>
      <c r="F17" s="50" t="str"/>
      <c r="G17" s="50" t="str"/>
      <c r="H17" s="70" t="n"/>
      <c r="I17" s="50" t="str"/>
      <c r="J17" s="50" t="inlineStr">
        <is>
          <t>未开始</t>
        </is>
      </c>
      <c r="K17" s="50" t="str"/>
    </row>
    <row r="18">
      <c r="A18" s="50" t="inlineStr">
        <is>
          <t>中</t>
        </is>
      </c>
      <c r="B18" s="50" t="str"/>
      <c r="C18" s="50" t="str"/>
      <c r="D18" s="50" t="inlineStr">
        <is>
          <t>待核</t>
        </is>
      </c>
      <c r="E18" s="50" t="str"/>
      <c r="F18" s="50" t="str"/>
      <c r="G18" s="50" t="str"/>
      <c r="H18" s="70" t="n"/>
      <c r="I18" s="50" t="str"/>
      <c r="J18" s="50" t="inlineStr">
        <is>
          <t>未开始</t>
        </is>
      </c>
      <c r="K18" s="50" t="str"/>
    </row>
    <row r="19">
      <c r="A19" s="50" t="inlineStr">
        <is>
          <t>中</t>
        </is>
      </c>
      <c r="B19" s="50" t="str"/>
      <c r="C19" s="50" t="str"/>
      <c r="D19" s="50" t="inlineStr">
        <is>
          <t>待核</t>
        </is>
      </c>
      <c r="E19" s="50" t="str"/>
      <c r="F19" s="50" t="str"/>
      <c r="G19" s="50" t="str"/>
      <c r="H19" s="70" t="n"/>
      <c r="I19" s="50" t="str"/>
      <c r="J19" s="50" t="inlineStr">
        <is>
          <t>未开始</t>
        </is>
      </c>
      <c r="K19" s="50" t="str"/>
    </row>
    <row r="20">
      <c r="A20" s="50" t="inlineStr">
        <is>
          <t>中</t>
        </is>
      </c>
      <c r="B20" s="50" t="str"/>
      <c r="C20" s="50" t="str"/>
      <c r="D20" s="50" t="inlineStr">
        <is>
          <t>待核</t>
        </is>
      </c>
      <c r="E20" s="50" t="str"/>
      <c r="F20" s="50" t="str"/>
      <c r="G20" s="50" t="str"/>
      <c r="H20" s="70" t="n"/>
      <c r="I20" s="50" t="str"/>
      <c r="J20" s="50" t="inlineStr">
        <is>
          <t>未开始</t>
        </is>
      </c>
      <c r="K20" s="50" t="str"/>
    </row>
    <row r="21">
      <c r="A21" s="50" t="inlineStr">
        <is>
          <t>中</t>
        </is>
      </c>
      <c r="B21" s="50" t="str"/>
      <c r="C21" s="50" t="str"/>
      <c r="D21" s="50" t="inlineStr">
        <is>
          <t>待核</t>
        </is>
      </c>
      <c r="E21" s="50" t="str"/>
      <c r="F21" s="50" t="str"/>
      <c r="G21" s="50" t="str"/>
      <c r="H21" s="70" t="n"/>
      <c r="I21" s="50" t="str"/>
      <c r="J21" s="50" t="inlineStr">
        <is>
          <t>未开始</t>
        </is>
      </c>
      <c r="K21" s="50" t="str"/>
    </row>
    <row r="22">
      <c r="A22" s="50" t="inlineStr">
        <is>
          <t>中</t>
        </is>
      </c>
      <c r="B22" s="50" t="str"/>
      <c r="C22" s="50" t="str"/>
      <c r="D22" s="50" t="inlineStr">
        <is>
          <t>待核</t>
        </is>
      </c>
      <c r="E22" s="50" t="str"/>
      <c r="F22" s="50" t="str"/>
      <c r="G22" s="50" t="str"/>
      <c r="H22" s="70" t="n"/>
      <c r="I22" s="50" t="str"/>
      <c r="J22" s="50" t="inlineStr">
        <is>
          <t>未开始</t>
        </is>
      </c>
      <c r="K22" s="50" t="str"/>
    </row>
    <row r="23">
      <c r="A23" s="50" t="inlineStr">
        <is>
          <t>中</t>
        </is>
      </c>
      <c r="B23" s="50" t="str"/>
      <c r="C23" s="50" t="str"/>
      <c r="D23" s="50" t="inlineStr">
        <is>
          <t>待核</t>
        </is>
      </c>
      <c r="E23" s="50" t="str"/>
      <c r="F23" s="50" t="str"/>
      <c r="G23" s="50" t="str"/>
      <c r="H23" s="70" t="n"/>
      <c r="I23" s="50" t="str"/>
      <c r="J23" s="50" t="inlineStr">
        <is>
          <t>未开始</t>
        </is>
      </c>
      <c r="K23" s="50" t="str"/>
    </row>
    <row r="24">
      <c r="A24" s="50" t="inlineStr">
        <is>
          <t>中</t>
        </is>
      </c>
      <c r="B24" s="50" t="str"/>
      <c r="C24" s="50" t="str"/>
      <c r="D24" s="50" t="inlineStr">
        <is>
          <t>待核</t>
        </is>
      </c>
      <c r="E24" s="50" t="str"/>
      <c r="F24" s="50" t="str"/>
      <c r="G24" s="50" t="str"/>
      <c r="H24" s="70" t="n"/>
      <c r="I24" s="50" t="str"/>
      <c r="J24" s="50" t="inlineStr">
        <is>
          <t>未开始</t>
        </is>
      </c>
      <c r="K24" s="50" t="str"/>
    </row>
    <row r="25">
      <c r="A25" s="50" t="inlineStr">
        <is>
          <t>中</t>
        </is>
      </c>
      <c r="B25" s="50" t="str"/>
      <c r="C25" s="50" t="str"/>
      <c r="D25" s="50" t="inlineStr">
        <is>
          <t>待核</t>
        </is>
      </c>
      <c r="E25" s="50" t="str"/>
      <c r="F25" s="50" t="str"/>
      <c r="G25" s="50" t="str"/>
      <c r="H25" s="70" t="n"/>
      <c r="I25" s="50" t="str"/>
      <c r="J25" s="50" t="inlineStr">
        <is>
          <t>未开始</t>
        </is>
      </c>
      <c r="K25" s="50" t="str"/>
    </row>
    <row r="26">
      <c r="A26" s="50" t="inlineStr">
        <is>
          <t>中</t>
        </is>
      </c>
      <c r="B26" s="50" t="str"/>
      <c r="C26" s="50" t="str"/>
      <c r="D26" s="50" t="inlineStr">
        <is>
          <t>待核</t>
        </is>
      </c>
      <c r="E26" s="50" t="str"/>
      <c r="F26" s="50" t="str"/>
      <c r="G26" s="50" t="str"/>
      <c r="H26" s="70" t="n"/>
      <c r="I26" s="50" t="str"/>
      <c r="J26" s="50" t="inlineStr">
        <is>
          <t>未开始</t>
        </is>
      </c>
      <c r="K26" s="50" t="str"/>
    </row>
    <row r="27">
      <c r="A27" s="50" t="inlineStr">
        <is>
          <t>中</t>
        </is>
      </c>
      <c r="B27" s="50" t="str"/>
      <c r="C27" s="50" t="str"/>
      <c r="D27" s="50" t="inlineStr">
        <is>
          <t>待核</t>
        </is>
      </c>
      <c r="E27" s="50" t="str"/>
      <c r="F27" s="50" t="str"/>
      <c r="G27" s="50" t="str"/>
      <c r="H27" s="70" t="n"/>
      <c r="I27" s="50" t="str"/>
      <c r="J27" s="50" t="inlineStr">
        <is>
          <t>未开始</t>
        </is>
      </c>
      <c r="K27" s="50" t="str"/>
    </row>
    <row r="28">
      <c r="A28" s="50" t="inlineStr">
        <is>
          <t>中</t>
        </is>
      </c>
      <c r="B28" s="50" t="str"/>
      <c r="C28" s="50" t="str"/>
      <c r="D28" s="50" t="inlineStr">
        <is>
          <t>待核</t>
        </is>
      </c>
      <c r="E28" s="50" t="str"/>
      <c r="F28" s="50" t="str"/>
      <c r="G28" s="50" t="str"/>
      <c r="H28" s="70" t="n"/>
      <c r="I28" s="50" t="str"/>
      <c r="J28" s="50" t="inlineStr">
        <is>
          <t>未开始</t>
        </is>
      </c>
      <c r="K28" s="50" t="str"/>
    </row>
    <row r="29">
      <c r="A29" s="50" t="inlineStr">
        <is>
          <t>中</t>
        </is>
      </c>
      <c r="B29" s="50" t="str"/>
      <c r="C29" s="50" t="str"/>
      <c r="D29" s="50" t="inlineStr">
        <is>
          <t>待核</t>
        </is>
      </c>
      <c r="E29" s="50" t="str"/>
      <c r="F29" s="50" t="str"/>
      <c r="G29" s="50" t="str"/>
      <c r="H29" s="70" t="n"/>
      <c r="I29" s="50" t="str"/>
      <c r="J29" s="50" t="inlineStr">
        <is>
          <t>未开始</t>
        </is>
      </c>
      <c r="K29" s="50" t="str"/>
    </row>
    <row r="30">
      <c r="A30" s="50" t="inlineStr">
        <is>
          <t>中</t>
        </is>
      </c>
      <c r="B30" s="50" t="str"/>
      <c r="C30" s="50" t="str"/>
      <c r="D30" s="50" t="inlineStr">
        <is>
          <t>待核</t>
        </is>
      </c>
      <c r="E30" s="50" t="str"/>
      <c r="F30" s="50" t="str"/>
      <c r="G30" s="50" t="str"/>
      <c r="H30" s="70" t="n"/>
      <c r="I30" s="50" t="str"/>
      <c r="J30" s="50" t="inlineStr">
        <is>
          <t>未开始</t>
        </is>
      </c>
      <c r="K30" s="50" t="str"/>
    </row>
    <row r="31">
      <c r="A31" s="50" t="inlineStr">
        <is>
          <t>中</t>
        </is>
      </c>
      <c r="B31" s="50" t="str"/>
      <c r="C31" s="50" t="str"/>
      <c r="D31" s="50" t="inlineStr">
        <is>
          <t>待核</t>
        </is>
      </c>
      <c r="E31" s="50" t="str"/>
      <c r="F31" s="50" t="str"/>
      <c r="G31" s="50" t="str"/>
      <c r="H31" s="70" t="n"/>
      <c r="I31" s="50" t="str"/>
      <c r="J31" s="50" t="inlineStr">
        <is>
          <t>未开始</t>
        </is>
      </c>
      <c r="K31" s="50" t="str"/>
    </row>
    <row r="32">
      <c r="A32" s="50" t="inlineStr">
        <is>
          <t>中</t>
        </is>
      </c>
      <c r="B32" s="50" t="str"/>
      <c r="C32" s="50" t="str"/>
      <c r="D32" s="50" t="inlineStr">
        <is>
          <t>待核</t>
        </is>
      </c>
      <c r="E32" s="50" t="str"/>
      <c r="F32" s="50" t="str"/>
      <c r="G32" s="50" t="str"/>
      <c r="H32" s="70" t="n"/>
      <c r="I32" s="50" t="str"/>
      <c r="J32" s="50" t="inlineStr">
        <is>
          <t>未开始</t>
        </is>
      </c>
      <c r="K32" s="50" t="str"/>
    </row>
    <row r="33">
      <c r="A33" s="50" t="inlineStr">
        <is>
          <t>中</t>
        </is>
      </c>
      <c r="B33" s="50" t="str"/>
      <c r="C33" s="50" t="str"/>
      <c r="D33" s="50" t="inlineStr">
        <is>
          <t>待核</t>
        </is>
      </c>
      <c r="E33" s="50" t="str"/>
      <c r="F33" s="50" t="str"/>
      <c r="G33" s="50" t="str"/>
      <c r="H33" s="70" t="n"/>
      <c r="I33" s="50" t="str"/>
      <c r="J33" s="50" t="inlineStr">
        <is>
          <t>未开始</t>
        </is>
      </c>
      <c r="K33" s="50" t="str"/>
    </row>
    <row r="34">
      <c r="A34" s="50" t="inlineStr">
        <is>
          <t>中</t>
        </is>
      </c>
      <c r="B34" s="50" t="str"/>
      <c r="C34" s="50" t="str"/>
      <c r="D34" s="50" t="inlineStr">
        <is>
          <t>待核</t>
        </is>
      </c>
      <c r="E34" s="50" t="str"/>
      <c r="F34" s="50" t="str"/>
      <c r="G34" s="50" t="str"/>
      <c r="H34" s="70" t="n"/>
      <c r="I34" s="50" t="str"/>
      <c r="J34" s="50" t="inlineStr">
        <is>
          <t>未开始</t>
        </is>
      </c>
      <c r="K34" s="50" t="str"/>
    </row>
    <row r="35">
      <c r="A35" s="50" t="inlineStr">
        <is>
          <t>中</t>
        </is>
      </c>
      <c r="B35" s="50" t="str"/>
      <c r="C35" s="50" t="str"/>
      <c r="D35" s="50" t="inlineStr">
        <is>
          <t>待核</t>
        </is>
      </c>
      <c r="E35" s="50" t="str"/>
      <c r="F35" s="50" t="str"/>
      <c r="G35" s="50" t="str"/>
      <c r="H35" s="70" t="n"/>
      <c r="I35" s="50" t="str"/>
      <c r="J35" s="50" t="inlineStr">
        <is>
          <t>未开始</t>
        </is>
      </c>
      <c r="K35" s="50" t="str"/>
    </row>
    <row r="36">
      <c r="A36" s="50" t="inlineStr">
        <is>
          <t>中</t>
        </is>
      </c>
      <c r="B36" s="50" t="str"/>
      <c r="C36" s="50" t="str"/>
      <c r="D36" s="50" t="inlineStr">
        <is>
          <t>待核</t>
        </is>
      </c>
      <c r="E36" s="50" t="str"/>
      <c r="F36" s="50" t="str"/>
      <c r="G36" s="50" t="str"/>
      <c r="H36" s="70" t="n"/>
      <c r="I36" s="50" t="str"/>
      <c r="J36" s="50" t="inlineStr">
        <is>
          <t>未开始</t>
        </is>
      </c>
      <c r="K36" s="50" t="str"/>
    </row>
    <row r="37">
      <c r="A37" s="50" t="inlineStr">
        <is>
          <t>中</t>
        </is>
      </c>
      <c r="B37" s="50" t="str"/>
      <c r="C37" s="50" t="str"/>
      <c r="D37" s="50" t="inlineStr">
        <is>
          <t>待核</t>
        </is>
      </c>
      <c r="E37" s="50" t="str"/>
      <c r="F37" s="50" t="str"/>
      <c r="G37" s="50" t="str"/>
      <c r="H37" s="70" t="n"/>
      <c r="I37" s="50" t="str"/>
      <c r="J37" s="50" t="inlineStr">
        <is>
          <t>未开始</t>
        </is>
      </c>
      <c r="K37" s="50" t="str"/>
    </row>
    <row r="38">
      <c r="A38" s="50" t="inlineStr">
        <is>
          <t>中</t>
        </is>
      </c>
      <c r="B38" s="50" t="str"/>
      <c r="C38" s="50" t="str"/>
      <c r="D38" s="50" t="inlineStr">
        <is>
          <t>待核</t>
        </is>
      </c>
      <c r="E38" s="50" t="str"/>
      <c r="F38" s="50" t="str"/>
      <c r="G38" s="50" t="str"/>
      <c r="H38" s="70" t="n"/>
      <c r="I38" s="50" t="str"/>
      <c r="J38" s="50" t="inlineStr">
        <is>
          <t>未开始</t>
        </is>
      </c>
      <c r="K38" s="50" t="str"/>
    </row>
    <row r="39">
      <c r="A39" s="50" t="inlineStr">
        <is>
          <t>中</t>
        </is>
      </c>
      <c r="B39" s="50" t="str"/>
      <c r="C39" s="50" t="str"/>
      <c r="D39" s="50" t="inlineStr">
        <is>
          <t>待核</t>
        </is>
      </c>
      <c r="E39" s="50" t="str"/>
      <c r="F39" s="50" t="str"/>
      <c r="G39" s="50" t="str"/>
      <c r="H39" s="70" t="n"/>
      <c r="I39" s="50" t="str"/>
      <c r="J39" s="50" t="inlineStr">
        <is>
          <t>未开始</t>
        </is>
      </c>
      <c r="K39" s="50" t="str"/>
    </row>
    <row r="40">
      <c r="A40" s="50" t="inlineStr">
        <is>
          <t>中</t>
        </is>
      </c>
      <c r="B40" s="50" t="str"/>
      <c r="C40" s="50" t="str"/>
      <c r="D40" s="50" t="inlineStr">
        <is>
          <t>待核</t>
        </is>
      </c>
      <c r="E40" s="50" t="str"/>
      <c r="F40" s="50" t="str"/>
      <c r="G40" s="50" t="str"/>
      <c r="H40" s="70" t="n"/>
      <c r="I40" s="50" t="str"/>
      <c r="J40" s="50" t="inlineStr">
        <is>
          <t>未开始</t>
        </is>
      </c>
      <c r="K40" s="50" t="str"/>
    </row>
    <row r="41">
      <c r="A41" s="50" t="inlineStr">
        <is>
          <t>中</t>
        </is>
      </c>
      <c r="B41" s="50" t="str"/>
      <c r="C41" s="50" t="str"/>
      <c r="D41" s="50" t="inlineStr">
        <is>
          <t>待核</t>
        </is>
      </c>
      <c r="E41" s="50" t="str"/>
      <c r="F41" s="50" t="str"/>
      <c r="G41" s="50" t="str"/>
      <c r="H41" s="70" t="n"/>
      <c r="I41" s="50" t="str"/>
      <c r="J41" s="50" t="inlineStr">
        <is>
          <t>未开始</t>
        </is>
      </c>
      <c r="K41" s="50" t="str"/>
    </row>
    <row r="42">
      <c r="A42" s="50" t="inlineStr">
        <is>
          <t>中</t>
        </is>
      </c>
      <c r="B42" s="50" t="str"/>
      <c r="C42" s="50" t="str"/>
      <c r="D42" s="50" t="inlineStr">
        <is>
          <t>待核</t>
        </is>
      </c>
      <c r="E42" s="50" t="str"/>
      <c r="F42" s="50" t="str"/>
      <c r="G42" s="50" t="str"/>
      <c r="H42" s="70" t="n"/>
      <c r="I42" s="50" t="str"/>
      <c r="J42" s="50" t="inlineStr">
        <is>
          <t>未开始</t>
        </is>
      </c>
      <c r="K42" s="50" t="str"/>
    </row>
    <row r="43">
      <c r="A43" s="50" t="inlineStr">
        <is>
          <t>中</t>
        </is>
      </c>
      <c r="B43" s="50" t="str"/>
      <c r="C43" s="50" t="str"/>
      <c r="D43" s="50" t="inlineStr">
        <is>
          <t>待核</t>
        </is>
      </c>
      <c r="E43" s="50" t="str"/>
      <c r="F43" s="50" t="str"/>
      <c r="G43" s="50" t="str"/>
      <c r="H43" s="70" t="n"/>
      <c r="I43" s="50" t="str"/>
      <c r="J43" s="50" t="inlineStr">
        <is>
          <t>未开始</t>
        </is>
      </c>
      <c r="K43" s="50" t="str"/>
    </row>
    <row r="44">
      <c r="A44" s="50" t="inlineStr">
        <is>
          <t>中</t>
        </is>
      </c>
      <c r="B44" s="50" t="str"/>
      <c r="C44" s="50" t="str"/>
      <c r="D44" s="50" t="inlineStr">
        <is>
          <t>待核</t>
        </is>
      </c>
      <c r="E44" s="50" t="str"/>
      <c r="F44" s="50" t="str"/>
      <c r="G44" s="50" t="str"/>
      <c r="H44" s="70" t="n"/>
      <c r="I44" s="50" t="str"/>
      <c r="J44" s="50" t="inlineStr">
        <is>
          <t>未开始</t>
        </is>
      </c>
      <c r="K44" s="50" t="str"/>
    </row>
    <row r="45">
      <c r="A45" s="50" t="inlineStr">
        <is>
          <t>中</t>
        </is>
      </c>
      <c r="B45" s="50" t="str"/>
      <c r="C45" s="50" t="str"/>
      <c r="D45" s="50" t="inlineStr">
        <is>
          <t>待核</t>
        </is>
      </c>
      <c r="E45" s="50" t="str"/>
      <c r="F45" s="50" t="str"/>
      <c r="G45" s="50" t="str"/>
      <c r="H45" s="70" t="n"/>
      <c r="I45" s="50" t="str"/>
      <c r="J45" s="50" t="inlineStr">
        <is>
          <t>未开始</t>
        </is>
      </c>
      <c r="K45" s="50" t="str"/>
    </row>
    <row r="46">
      <c r="A46" s="50" t="inlineStr">
        <is>
          <t>中</t>
        </is>
      </c>
      <c r="B46" s="50" t="str"/>
      <c r="C46" s="50" t="str"/>
      <c r="D46" s="50" t="inlineStr">
        <is>
          <t>待核</t>
        </is>
      </c>
      <c r="E46" s="50" t="str"/>
      <c r="F46" s="50" t="str"/>
      <c r="G46" s="50" t="str"/>
      <c r="H46" s="70" t="n"/>
      <c r="I46" s="50" t="str"/>
      <c r="J46" s="50" t="inlineStr">
        <is>
          <t>未开始</t>
        </is>
      </c>
      <c r="K46" s="50" t="str"/>
    </row>
    <row r="47">
      <c r="A47" s="50" t="inlineStr">
        <is>
          <t>中</t>
        </is>
      </c>
      <c r="B47" s="50" t="str"/>
      <c r="C47" s="50" t="str"/>
      <c r="D47" s="50" t="inlineStr">
        <is>
          <t>待核</t>
        </is>
      </c>
      <c r="E47" s="50" t="str"/>
      <c r="F47" s="50" t="str"/>
      <c r="G47" s="50" t="str"/>
      <c r="H47" s="70" t="n"/>
      <c r="I47" s="50" t="str"/>
      <c r="J47" s="50" t="inlineStr">
        <is>
          <t>未开始</t>
        </is>
      </c>
      <c r="K47" s="50" t="str"/>
    </row>
    <row r="48">
      <c r="A48" s="50" t="inlineStr">
        <is>
          <t>中</t>
        </is>
      </c>
      <c r="B48" s="50" t="str"/>
      <c r="C48" s="50" t="str"/>
      <c r="D48" s="50" t="inlineStr">
        <is>
          <t>待核</t>
        </is>
      </c>
      <c r="E48" s="50" t="str"/>
      <c r="F48" s="50" t="str"/>
      <c r="G48" s="50" t="str"/>
      <c r="H48" s="70" t="n"/>
      <c r="I48" s="50" t="str"/>
      <c r="J48" s="50" t="inlineStr">
        <is>
          <t>未开始</t>
        </is>
      </c>
      <c r="K48" s="50" t="str"/>
    </row>
    <row r="49">
      <c r="A49" s="50" t="inlineStr">
        <is>
          <t>中</t>
        </is>
      </c>
      <c r="B49" s="50" t="str"/>
      <c r="C49" s="50" t="str"/>
      <c r="D49" s="50" t="inlineStr">
        <is>
          <t>待核</t>
        </is>
      </c>
      <c r="E49" s="50" t="str"/>
      <c r="F49" s="50" t="str"/>
      <c r="G49" s="50" t="str"/>
      <c r="H49" s="70" t="n"/>
      <c r="I49" s="50" t="str"/>
      <c r="J49" s="50" t="inlineStr">
        <is>
          <t>未开始</t>
        </is>
      </c>
      <c r="K49" s="50" t="str"/>
    </row>
    <row r="50">
      <c r="A50" s="50" t="inlineStr">
        <is>
          <t>中</t>
        </is>
      </c>
      <c r="B50" s="50" t="str"/>
      <c r="C50" s="50" t="str"/>
      <c r="D50" s="50" t="inlineStr">
        <is>
          <t>待核</t>
        </is>
      </c>
      <c r="E50" s="50" t="str"/>
      <c r="F50" s="50" t="str"/>
      <c r="G50" s="50" t="str"/>
      <c r="H50" s="70" t="n"/>
      <c r="I50" s="50" t="str"/>
      <c r="J50" s="50" t="inlineStr">
        <is>
          <t>未开始</t>
        </is>
      </c>
      <c r="K50" s="50" t="str"/>
    </row>
    <row r="51">
      <c r="A51" s="50" t="inlineStr">
        <is>
          <t>中</t>
        </is>
      </c>
      <c r="B51" s="50" t="str"/>
      <c r="C51" s="50" t="str"/>
      <c r="D51" s="50" t="inlineStr">
        <is>
          <t>待核</t>
        </is>
      </c>
      <c r="E51" s="50" t="str"/>
      <c r="F51" s="50" t="str"/>
      <c r="G51" s="50" t="str"/>
      <c r="H51" s="70" t="n"/>
      <c r="I51" s="50" t="str"/>
      <c r="J51" s="50" t="inlineStr">
        <is>
          <t>未开始</t>
        </is>
      </c>
      <c r="K51" s="50" t="str"/>
    </row>
    <row r="52">
      <c r="A52" s="50" t="inlineStr">
        <is>
          <t>中</t>
        </is>
      </c>
      <c r="B52" s="50" t="str"/>
      <c r="C52" s="50" t="str"/>
      <c r="D52" s="50" t="inlineStr">
        <is>
          <t>待核</t>
        </is>
      </c>
      <c r="E52" s="50" t="str"/>
      <c r="F52" s="50" t="str"/>
      <c r="G52" s="50" t="str"/>
      <c r="H52" s="70" t="n"/>
      <c r="I52" s="50" t="str"/>
      <c r="J52" s="50" t="inlineStr">
        <is>
          <t>未开始</t>
        </is>
      </c>
      <c r="K52" s="50" t="str"/>
    </row>
    <row r="53">
      <c r="A53" s="50" t="inlineStr">
        <is>
          <t>中</t>
        </is>
      </c>
      <c r="B53" s="50" t="str"/>
      <c r="C53" s="50" t="str"/>
      <c r="D53" s="50" t="inlineStr">
        <is>
          <t>待核</t>
        </is>
      </c>
      <c r="E53" s="50" t="str"/>
      <c r="F53" s="50" t="str"/>
      <c r="G53" s="50" t="str"/>
      <c r="H53" s="70" t="n"/>
      <c r="I53" s="50" t="str"/>
      <c r="J53" s="50" t="inlineStr">
        <is>
          <t>未开始</t>
        </is>
      </c>
      <c r="K53" s="50" t="str"/>
    </row>
    <row r="54">
      <c r="A54" s="50" t="inlineStr">
        <is>
          <t>中</t>
        </is>
      </c>
      <c r="B54" s="50" t="str"/>
      <c r="C54" s="50" t="str"/>
      <c r="D54" s="50" t="inlineStr">
        <is>
          <t>待核</t>
        </is>
      </c>
      <c r="E54" s="50" t="str"/>
      <c r="F54" s="50" t="str"/>
      <c r="G54" s="50" t="str"/>
      <c r="H54" s="70" t="n"/>
      <c r="I54" s="50" t="str"/>
      <c r="J54" s="50" t="inlineStr">
        <is>
          <t>未开始</t>
        </is>
      </c>
      <c r="K54" s="50" t="str"/>
    </row>
    <row r="55">
      <c r="A55" s="50" t="inlineStr">
        <is>
          <t>中</t>
        </is>
      </c>
      <c r="B55" s="50" t="str"/>
      <c r="C55" s="50" t="str"/>
      <c r="D55" s="50" t="inlineStr">
        <is>
          <t>待核</t>
        </is>
      </c>
      <c r="E55" s="50" t="str"/>
      <c r="F55" s="50" t="str"/>
      <c r="G55" s="50" t="str"/>
      <c r="H55" s="70" t="n"/>
      <c r="I55" s="50" t="str"/>
      <c r="J55" s="50" t="inlineStr">
        <is>
          <t>未开始</t>
        </is>
      </c>
      <c r="K55" s="50" t="str"/>
    </row>
    <row r="56">
      <c r="A56" s="50" t="inlineStr">
        <is>
          <t>中</t>
        </is>
      </c>
      <c r="B56" s="50" t="str"/>
      <c r="C56" s="50" t="str"/>
      <c r="D56" s="50" t="inlineStr">
        <is>
          <t>待核</t>
        </is>
      </c>
      <c r="E56" s="50" t="str"/>
      <c r="F56" s="50" t="str"/>
      <c r="G56" s="50" t="str"/>
      <c r="H56" s="70" t="n"/>
      <c r="I56" s="50" t="str"/>
      <c r="J56" s="50" t="inlineStr">
        <is>
          <t>未开始</t>
        </is>
      </c>
      <c r="K56" s="50" t="str"/>
    </row>
    <row r="57">
      <c r="A57" s="50" t="inlineStr">
        <is>
          <t>中</t>
        </is>
      </c>
      <c r="B57" s="50" t="str"/>
      <c r="C57" s="50" t="str"/>
      <c r="D57" s="50" t="inlineStr">
        <is>
          <t>待核</t>
        </is>
      </c>
      <c r="E57" s="50" t="str"/>
      <c r="F57" s="50" t="str"/>
      <c r="G57" s="50" t="str"/>
      <c r="H57" s="70" t="n"/>
      <c r="I57" s="50" t="str"/>
      <c r="J57" s="50" t="inlineStr">
        <is>
          <t>未开始</t>
        </is>
      </c>
      <c r="K57" s="50" t="str"/>
    </row>
    <row r="58">
      <c r="A58" s="50" t="inlineStr">
        <is>
          <t>中</t>
        </is>
      </c>
      <c r="B58" s="50" t="str"/>
      <c r="C58" s="50" t="str"/>
      <c r="D58" s="50" t="inlineStr">
        <is>
          <t>待核</t>
        </is>
      </c>
      <c r="E58" s="50" t="str"/>
      <c r="F58" s="50" t="str"/>
      <c r="G58" s="50" t="str"/>
      <c r="H58" s="70" t="n"/>
      <c r="I58" s="50" t="str"/>
      <c r="J58" s="50" t="inlineStr">
        <is>
          <t>未开始</t>
        </is>
      </c>
      <c r="K58" s="50" t="str"/>
    </row>
    <row r="59">
      <c r="A59" s="50" t="inlineStr">
        <is>
          <t>中</t>
        </is>
      </c>
      <c r="B59" s="50" t="str"/>
      <c r="C59" s="50" t="str"/>
      <c r="D59" s="50" t="inlineStr">
        <is>
          <t>待核</t>
        </is>
      </c>
      <c r="E59" s="50" t="str"/>
      <c r="F59" s="50" t="str"/>
      <c r="G59" s="50" t="str"/>
      <c r="H59" s="70" t="n"/>
      <c r="I59" s="50" t="str"/>
      <c r="J59" s="50" t="inlineStr">
        <is>
          <t>未开始</t>
        </is>
      </c>
      <c r="K59" s="50" t="str"/>
    </row>
    <row r="60">
      <c r="A60" s="50" t="inlineStr">
        <is>
          <t>中</t>
        </is>
      </c>
      <c r="B60" s="50" t="str"/>
      <c r="C60" s="50" t="str"/>
      <c r="D60" s="50" t="inlineStr">
        <is>
          <t>待核</t>
        </is>
      </c>
      <c r="E60" s="50" t="str"/>
      <c r="F60" s="50" t="str"/>
      <c r="G60" s="50" t="str"/>
      <c r="H60" s="70" t="n"/>
      <c r="I60" s="50" t="str"/>
      <c r="J60" s="50" t="inlineStr">
        <is>
          <t>未开始</t>
        </is>
      </c>
      <c r="K60" s="50" t="str"/>
    </row>
    <row r="61">
      <c r="A61" s="50" t="inlineStr">
        <is>
          <t>中</t>
        </is>
      </c>
      <c r="B61" s="50" t="str"/>
      <c r="C61" s="50" t="str"/>
      <c r="D61" s="50" t="inlineStr">
        <is>
          <t>待核</t>
        </is>
      </c>
      <c r="E61" s="50" t="str"/>
      <c r="F61" s="50" t="str"/>
      <c r="G61" s="50" t="str"/>
      <c r="H61" s="70" t="n"/>
      <c r="I61" s="50" t="str"/>
      <c r="J61" s="50" t="inlineStr">
        <is>
          <t>未开始</t>
        </is>
      </c>
      <c r="K61" s="50" t="str"/>
    </row>
    <row r="62">
      <c r="A62" s="50" t="inlineStr">
        <is>
          <t>中</t>
        </is>
      </c>
      <c r="B62" s="50" t="str"/>
      <c r="C62" s="50" t="str"/>
      <c r="D62" s="50" t="inlineStr">
        <is>
          <t>待核</t>
        </is>
      </c>
      <c r="E62" s="50" t="str"/>
      <c r="F62" s="50" t="str"/>
      <c r="G62" s="50" t="str"/>
      <c r="H62" s="70" t="n"/>
      <c r="I62" s="50" t="str"/>
      <c r="J62" s="50" t="inlineStr">
        <is>
          <t>未开始</t>
        </is>
      </c>
      <c r="K62" s="50" t="str"/>
    </row>
    <row r="63">
      <c r="A63" s="50" t="inlineStr">
        <is>
          <t>中</t>
        </is>
      </c>
      <c r="B63" s="50" t="str"/>
      <c r="C63" s="50" t="str"/>
      <c r="D63" s="50" t="inlineStr">
        <is>
          <t>待核</t>
        </is>
      </c>
      <c r="E63" s="50" t="str"/>
      <c r="F63" s="50" t="str"/>
      <c r="G63" s="50" t="str"/>
      <c r="H63" s="70" t="n"/>
      <c r="I63" s="50" t="str"/>
      <c r="J63" s="50" t="inlineStr">
        <is>
          <t>未开始</t>
        </is>
      </c>
      <c r="K63" s="50" t="str"/>
    </row>
    <row r="64">
      <c r="A64" s="50" t="inlineStr">
        <is>
          <t>中</t>
        </is>
      </c>
      <c r="B64" s="50" t="str"/>
      <c r="C64" s="50" t="str"/>
      <c r="D64" s="50" t="inlineStr">
        <is>
          <t>待核</t>
        </is>
      </c>
      <c r="E64" s="50" t="str"/>
      <c r="F64" s="50" t="str"/>
      <c r="G64" s="50" t="str"/>
      <c r="H64" s="70" t="n"/>
      <c r="I64" s="50" t="str"/>
      <c r="J64" s="50" t="inlineStr">
        <is>
          <t>未开始</t>
        </is>
      </c>
      <c r="K64" s="50" t="str"/>
    </row>
  </sheetData>
  <mergeCells count="2">
    <mergeCell ref="A2:K2"/>
    <mergeCell ref="A1:K1"/>
  </mergeCells>
  <dataValidations count="3">
    <dataValidation sqref="A5:A64" showDropDown="0" showInputMessage="0" showErrorMessage="0" allowBlank="0" type="list">
      <formula1>"高,中,低"</formula1>
    </dataValidation>
    <dataValidation sqref="D5:D64" showDropDown="0" showInputMessage="0" showErrorMessage="0" allowBlank="0" type="list">
      <formula1>"证据补强,事实补强,无缺口,待核"</formula1>
    </dataValidation>
    <dataValidation sqref="J5:J64" showDropDown="0" showInputMessage="0" showErrorMessage="0" allowBlank="0" type="list">
      <formula1>"未开始,进行中,已完成,不适用"</formula1>
    </dataValidation>
  </dataValidations>
  <pageMargins left="0.3" right="0.3" top="0.3" bottom="0.3" header="0.3" footer="0.3"/>
  <pageSetup orientation="landscape" paperSize="8" fitToHeight="0" fitToWidth="1" pageOrder="downThenOver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16" customWidth="1" min="4" max="4"/>
    <col width="58" customWidth="1" min="5" max="5"/>
    <col width="14" customWidth="1" min="6" max="6"/>
  </cols>
  <sheetData>
    <row r="1" ht="19.20000076293945" customHeight="1">
      <c r="A1" s="46" t="inlineStr">
        <is>
          <t>规则、口径与来源</t>
        </is>
      </c>
    </row>
    <row r="2" ht="15" customHeight="1">
      <c r="A2" s="40" t="inlineStr">
        <is>
          <t>每次正式评估仍需核验当期国家规则、属地通知和系统要求。</t>
        </is>
      </c>
    </row>
    <row r="3">
      <c r="A3" s="47" t="n"/>
      <c r="B3" s="47" t="n"/>
      <c r="C3" s="47" t="n"/>
      <c r="D3" s="47" t="n"/>
      <c r="E3" s="47" t="n"/>
      <c r="F3" s="47" t="n"/>
    </row>
    <row r="4" ht="26.39999961853027" customHeight="1">
      <c r="A4" s="48" t="inlineStr">
        <is>
          <t>类别</t>
        </is>
      </c>
      <c r="B4" s="48" t="inlineStr">
        <is>
          <t>规则</t>
        </is>
      </c>
      <c r="C4" s="48" t="inlineStr">
        <is>
          <t>当前口径</t>
        </is>
      </c>
      <c r="D4" s="48" t="inlineStr">
        <is>
          <t>来源层级</t>
        </is>
      </c>
      <c r="E4" s="48" t="inlineStr">
        <is>
          <t>来源或确认人</t>
        </is>
      </c>
      <c r="F4" s="48" t="inlineStr">
        <is>
          <t>核验日期</t>
        </is>
      </c>
    </row>
    <row r="5" ht="145.1999969482422" customHeight="1">
      <c r="A5" s="49" t="inlineStr">
        <is>
          <t>政策</t>
        </is>
      </c>
      <c r="B5" s="49" t="inlineStr">
        <is>
          <t>创新能力评价</t>
        </is>
      </c>
      <c r="C5" s="49" t="inlineStr">
        <is>
          <t>总分100，综合得分超过70</t>
        </is>
      </c>
      <c r="D5" s="49" t="inlineStr">
        <is>
          <t>国家文件</t>
        </is>
      </c>
      <c r="E5" s="49" t="inlineStr">
        <is>
          <t>https://www.most.gov.cn/xxgk/xinxifenlei/fdzdgknr/fgzc/gfxwj/gfxwj2016/201602/t20160205_123998.html</t>
        </is>
      </c>
      <c r="F5" s="78" t="n">
        <v>46227</v>
      </c>
    </row>
    <row r="6" ht="92.40000152587891" customHeight="1">
      <c r="A6" s="49" t="inlineStr">
        <is>
          <t>政策</t>
        </is>
      </c>
      <c r="B6" s="49" t="inlineStr">
        <is>
          <t>工作指引</t>
        </is>
      </c>
      <c r="C6" s="49" t="inlineStr">
        <is>
          <t>知识产权、成果转化、组织管理和成长性评分</t>
        </is>
      </c>
      <c r="D6" s="49" t="inlineStr">
        <is>
          <t>国家文件</t>
        </is>
      </c>
      <c r="E6" s="49" t="inlineStr">
        <is>
          <t>http://heilongjiang.chinatax.gov.cn/art/2016/6/22/art_4912_153619.html</t>
        </is>
      </c>
      <c r="F6" s="78" t="n">
        <v>46227</v>
      </c>
    </row>
    <row r="7" ht="52.79999923706055" customHeight="1">
      <c r="A7" s="49" t="inlineStr">
        <is>
          <t>内部风控</t>
        </is>
      </c>
      <c r="B7" s="49" t="inlineStr">
        <is>
          <t>保守缓冲线</t>
        </is>
      </c>
      <c r="C7" s="49" t="inlineStr">
        <is>
          <t>75分为内部建议线，不是政策门槛</t>
        </is>
      </c>
      <c r="D7" s="49" t="inlineStr">
        <is>
          <t>内部规则</t>
        </is>
      </c>
      <c r="E7" s="49" t="inlineStr">
        <is>
          <t>high-tech-enterprise-preassessment</t>
        </is>
      </c>
      <c r="F7" s="78" t="n">
        <v>46227</v>
      </c>
    </row>
    <row r="8" ht="79.19999694824219" customHeight="1">
      <c r="A8" s="49" t="inlineStr">
        <is>
          <t>实务口径</t>
        </is>
      </c>
      <c r="B8" s="49" t="inlineStr">
        <is>
          <t>Ⅱ类曾申报未通过</t>
        </is>
      </c>
      <c r="C8" s="49" t="inlineStr">
        <is>
          <t>未通过不消耗使用次数，可在后续申报再次使用</t>
        </is>
      </c>
      <c r="D8" s="49" t="inlineStr">
        <is>
          <t>主人确认</t>
        </is>
      </c>
      <c r="E8" s="49" t="inlineStr">
        <is>
          <t>用户于当前任务明确确认</t>
        </is>
      </c>
      <c r="F8" s="78" t="n">
        <v>46227</v>
      </c>
    </row>
    <row r="9" ht="52.79999923706055" customHeight="1">
      <c r="A9" s="49" t="inlineStr">
        <is>
          <t>实务口径</t>
        </is>
      </c>
      <c r="B9" s="49" t="inlineStr">
        <is>
          <t>Ⅱ类曾在通过认定中使用</t>
        </is>
      </c>
      <c r="C9" s="49" t="inlineStr">
        <is>
          <t>本次不可重复使用</t>
        </is>
      </c>
      <c r="D9" s="49" t="inlineStr">
        <is>
          <t>工作基线</t>
        </is>
      </c>
      <c r="E9" s="49" t="inlineStr">
        <is>
          <t>结合工作指引与主人确认口径</t>
        </is>
      </c>
      <c r="F9" s="78" t="n">
        <v>46227</v>
      </c>
    </row>
    <row r="10" ht="52.79999923706055" customHeight="1">
      <c r="A10" s="49" t="inlineStr">
        <is>
          <t>证据规则</t>
        </is>
      </c>
      <c r="B10" s="49" t="inlineStr">
        <is>
          <t>未授权知识产权</t>
        </is>
      </c>
      <c r="C10" s="49" t="inlineStr">
        <is>
          <t>申请中不计入有效知识产权得分</t>
        </is>
      </c>
      <c r="D10" s="49" t="inlineStr">
        <is>
          <t>工作指引</t>
        </is>
      </c>
      <c r="E10" s="49" t="inlineStr">
        <is>
          <t>国家文件及属地核验</t>
        </is>
      </c>
      <c r="F10" s="78" t="n">
        <v>46227</v>
      </c>
    </row>
    <row r="11" ht="52.79999923706055" customHeight="1">
      <c r="A11" s="49" t="inlineStr">
        <is>
          <t>证据规则</t>
        </is>
      </c>
      <c r="B11" s="49" t="inlineStr">
        <is>
          <t>成果转化重复</t>
        </is>
      </c>
      <c r="C11" s="49" t="inlineStr">
        <is>
          <t>同一成果多产品或多地区不重复计数</t>
        </is>
      </c>
      <c r="D11" s="49" t="inlineStr">
        <is>
          <t>工作指引</t>
        </is>
      </c>
      <c r="E11" s="49" t="inlineStr">
        <is>
          <t>国家文件</t>
        </is>
      </c>
      <c r="F11" s="78" t="n">
        <v>46227</v>
      </c>
    </row>
    <row r="12" ht="39.59999847412109" customHeight="1">
      <c r="A12" s="49" t="inlineStr">
        <is>
          <t>证据规则</t>
        </is>
      </c>
      <c r="B12" s="49" t="inlineStr">
        <is>
          <t>组织管理</t>
        </is>
      </c>
      <c r="C12" s="49" t="inlineStr">
        <is>
          <t>制度、执行、结果三层核验</t>
        </is>
      </c>
      <c r="D12" s="49" t="inlineStr">
        <is>
          <t>内部预评估</t>
        </is>
      </c>
      <c r="E12" s="49" t="inlineStr">
        <is>
          <t>技能评分规则</t>
        </is>
      </c>
      <c r="F12" s="78" t="n">
        <v>46227</v>
      </c>
    </row>
    <row r="13" ht="66" customHeight="1">
      <c r="A13" s="49" t="inlineStr">
        <is>
          <t>真实性</t>
        </is>
      </c>
      <c r="B13" s="49" t="inlineStr">
        <is>
          <t>补强边界</t>
        </is>
      </c>
      <c r="C13" s="49" t="inlineStr">
        <is>
          <t>区分证据补强与事实补强，禁止倒签补造</t>
        </is>
      </c>
      <c r="D13" s="49" t="inlineStr">
        <is>
          <t>质量门禁</t>
        </is>
      </c>
      <c r="E13" s="49" t="inlineStr">
        <is>
          <t>焦糖工作约定</t>
        </is>
      </c>
      <c r="F13" s="78" t="n">
        <v>46227</v>
      </c>
    </row>
    <row r="14" ht="66" customHeight="1">
      <c r="A14" s="49" t="inlineStr">
        <is>
          <t>输出</t>
        </is>
      </c>
      <c r="B14" s="49" t="inlineStr">
        <is>
          <t>通过率</t>
        </is>
      </c>
      <c r="C14" s="49" t="inlineStr">
        <is>
          <t>无校准样本时只给把握等级和安全边际</t>
        </is>
      </c>
      <c r="D14" s="49" t="inlineStr">
        <is>
          <t>真实性规则</t>
        </is>
      </c>
      <c r="E14" s="49" t="inlineStr">
        <is>
          <t>技能主流程</t>
        </is>
      </c>
      <c r="F14" s="78" t="n">
        <v>46227</v>
      </c>
    </row>
  </sheetData>
  <mergeCells count="2">
    <mergeCell ref="A2:F2"/>
    <mergeCell ref="A1:F1"/>
  </mergeCells>
  <pageMargins left="0.3" right="0.3" top="0.3" bottom="0.3" header="0.3" footer="0.3"/>
  <pageSetup orientation="landscape" paperSize="9" fitToHeight="0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2026-10-03T10:05:46Z</dcterms:created>
  <dcterms:modified xmlns:dcterms="http://purl.org/dc/terms/" xmlns:xsi="http://www.w3.org/2001/XMLSchema-instance" xsi:type="dcterms:W3CDTF">2026-10-03T10:05:46Z</dcterms:modified>
</cp:coreProperties>
</file>