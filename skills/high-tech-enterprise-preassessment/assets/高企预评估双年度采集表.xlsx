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1eed433eca45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44be36b32ca644f5"/>
    <x:sheet xmlns:r="http://schemas.openxmlformats.org/officeDocument/2006/relationships" name="基础与硬门槛" sheetId="2" r:id="Rd3c4b9c76e6f4c8c"/>
    <x:sheet xmlns:r="http://schemas.openxmlformats.org/officeDocument/2006/relationships" name="财务与成长性" sheetId="3" r:id="R33d84ade208d4b92"/>
    <x:sheet xmlns:r="http://schemas.openxmlformats.org/officeDocument/2006/relationships" name="知识产权" sheetId="4" r:id="Rc11fd48fefb745be"/>
    <x:sheet xmlns:r="http://schemas.openxmlformats.org/officeDocument/2006/relationships" name="成果转化" sheetId="5" r:id="R56a91cabb1db43a8"/>
    <x:sheet xmlns:r="http://schemas.openxmlformats.org/officeDocument/2006/relationships" name="组织管理" sheetId="6" r:id="Rcfceec090f7c4e15"/>
    <x:sheet xmlns:r="http://schemas.openxmlformats.org/officeDocument/2006/relationships" name="双年度评分" sheetId="7" r:id="R10e7d5f2fa9f4f29"/>
    <x:sheet xmlns:r="http://schemas.openxmlformats.org/officeDocument/2006/relationships" name="补强计划" sheetId="8" r:id="R8078999a7d864d64"/>
    <x:sheet xmlns:r="http://schemas.openxmlformats.org/officeDocument/2006/relationships" name="规则与来源" sheetId="9" r:id="R38177643c9c84a7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"/>
    <x:numFmt numFmtId="201" formatCode="#,##0.00"/>
    <x:numFmt numFmtId="202" formatCode="#,##0"/>
    <x:numFmt numFmtId="203" formatCode="0.00%"/>
    <x:numFmt numFmtId="204" formatCode="0"/>
    <x:numFmt numFmtId="205" formatCode="0.00"/>
  </x:numFmts>
  <x:fonts count="16">
    <x:font>
      <x:sz val="11"/>
      <x:name val="Carlito"/>
    </x:font>
    <x:font>
      <x:b/>
      <x:sz val="16"/>
      <x:color rgb="FFFFFFFF"/>
      <x:name val="Carlito"/>
    </x:font>
    <x:font>
      <x:i/>
      <x:sz val="10"/>
      <x:color rgb="FF1F2937"/>
      <x:name val="Carlito"/>
    </x:font>
    <x:font>
      <x:b/>
      <x:sz val="11"/>
      <x:color rgb="FF1F2937"/>
      <x:name val="Carlito"/>
    </x:font>
    <x:font>
      <x:sz val="11"/>
      <x:color rgb="FF1F2937"/>
      <x:name val="Carlito"/>
    </x:font>
    <x:font>
      <x:b/>
      <x:sz val="11"/>
      <x:color rgb="FFFFFFFF"/>
      <x:name val="Carlito"/>
    </x:font>
    <x:font>
      <x:b/>
      <x:sz val="16"/>
      <x:color rgb="FFFFFFFF"/>
      <x:name val="Aptos"/>
    </x:font>
    <x:font>
      <x:i/>
      <x:sz val="10"/>
      <x:color rgb="FF1F2937"/>
      <x:name val="Aptos"/>
    </x:font>
    <x:font>
      <x:sz val="11"/>
      <x:name val="Aptos"/>
    </x:font>
    <x:font>
      <x:b/>
      <x:sz val="11"/>
      <x:color rgb="FF1F2937"/>
      <x:name val="Aptos"/>
    </x:font>
    <x:font>
      <x:sz val="11"/>
      <x:color rgb="FF1F2937"/>
      <x:name val="Aptos"/>
    </x:font>
    <x:font>
      <x:b/>
      <x:sz val="11"/>
      <x:color rgb="FFFFFFFF"/>
      <x:name val="Aptos"/>
    </x:font>
    <x:font>
      <x:b/>
      <x:sz val="10"/>
      <x:color rgb="FFFFFFFF"/>
      <x:name val="Aptos"/>
    </x:font>
    <x:font>
      <x:sz val="10"/>
      <x:name val="Aptos"/>
    </x:font>
    <x:font>
      <x:b/>
      <x:sz val="10"/>
      <x:color rgb="FF1F2937"/>
      <x:name val="Aptos"/>
    </x:font>
    <x:font>
      <x:sz val="10"/>
      <x:color rgb="FF1F2937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FF2CC"/>
      </x:patternFill>
    </x:fill>
    <x:fill>
      <x:patternFill patternType="solid">
        <x:fgColor rgb="FF0F766E"/>
      </x:patternFill>
    </x:fill>
    <x:fill>
      <x:patternFill patternType="solid">
        <x:fgColor rgb="FFE2F0D9"/>
      </x:patternFill>
    </x:fill>
  </x:fills>
  <x:borders count="2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7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200" fontId="4" fillId="4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horizontal="center" vertical="center" wrapText="1"/>
    </x:xf>
    <x:xf numFmtId="201" fontId="4" fillId="4" borderId="1" xfId="0" applyNumberFormat="1" applyFont="1" applyFill="1" applyBorder="1" applyAlignment="1">
      <x:alignment vertical="center" wrapText="1"/>
    </x:xf>
    <x:xf numFmtId="202" fontId="4" fillId="4" borderId="1" xfId="0" applyNumberFormat="1" applyFont="1" applyFill="1" applyBorder="1" applyAlignment="1">
      <x:alignment vertical="center" wrapText="1"/>
    </x:xf>
    <x:xf numFmtId="203" fontId="4" fillId="6" borderId="1" xfId="0" applyNumberFormat="1" applyFont="1" applyFill="1" applyBorder="1" applyAlignment="1">
      <x:alignment vertical="center" wrapText="1"/>
    </x:xf>
    <x:xf numFmtId="204" fontId="4" fillId="0" borderId="1" xfId="0" applyNumberFormat="1" applyFont="1" applyFill="1" applyBorder="1" applyAlignment="1">
      <x:alignment vertical="center" wrapText="1"/>
    </x:xf>
    <x:xf numFmtId="205" fontId="4" fillId="6" borderId="1" xfId="0" applyNumberFormat="1" applyFont="1" applyFill="1" applyBorder="1" applyAlignment="1">
      <x:alignment vertical="center" wrapText="1"/>
    </x:xf>
    <x:xf numFmtId="200" fontId="4" fillId="0" borderId="1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horizontal="left" vertical="center"/>
    </x:xf>
    <x:xf numFmtId="0" fontId="7" fillId="3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9" fillId="3" borderId="1" xfId="0" applyNumberFormat="1" applyFont="1" applyFill="1" applyBorder="1" applyAlignment="1">
      <x:alignment horizontal="center" vertical="center" wrapText="1"/>
    </x:xf>
    <x:xf numFmtId="0" fontId="10" fillId="0" borderId="1" xfId="0" applyNumberFormat="1" applyFont="1" applyFill="1" applyBorder="1" applyAlignment="1">
      <x:alignment vertical="center" wrapText="1"/>
    </x:xf>
    <x:xf numFmtId="0" fontId="10" fillId="4" borderId="1" xfId="0" applyNumberFormat="1" applyFont="1" applyFill="1" applyBorder="1" applyAlignment="1">
      <x:alignment vertical="center" wrapText="1"/>
    </x:xf>
    <x:xf numFmtId="0" fontId="11" fillId="5" borderId="0" xfId="0" applyNumberFormat="1" applyFont="1" applyFill="1" applyBorder="1" applyAlignment="1">
      <x:alignment vertical="center"/>
    </x:xf>
    <x:xf numFmtId="0" fontId="12" fillId="2" borderId="0" xfId="0" applyNumberFormat="1" applyFont="1" applyFill="1" applyBorder="1" applyAlignment="1">
      <x:alignment horizontal="left" vertical="center"/>
    </x:xf>
    <x:xf numFmtId="0" fontId="13" fillId="0" borderId="0" xfId="0" applyNumberFormat="1" applyFont="1" applyFill="1" applyBorder="1"/>
    <x:xf numFmtId="0" fontId="14" fillId="3" borderId="1" xfId="0" applyNumberFormat="1" applyFont="1" applyFill="1" applyBorder="1" applyAlignment="1">
      <x:alignment horizontal="center" vertical="center" wrapText="1"/>
    </x:xf>
    <x:xf numFmtId="0" fontId="15" fillId="0" borderId="1" xfId="0" applyNumberFormat="1" applyFont="1" applyFill="1" applyBorder="1" applyAlignment="1">
      <x:alignment vertical="center" wrapText="1"/>
    </x:xf>
    <x:xf numFmtId="0" fontId="15" fillId="4" borderId="1" xfId="0" applyNumberFormat="1" applyFont="1" applyFill="1" applyBorder="1" applyAlignment="1">
      <x:alignment vertical="center" wrapText="1"/>
    </x:xf>
    <x:xf numFmtId="0" fontId="12" fillId="5" borderId="0" xfId="0" applyNumberFormat="1" applyFont="1" applyFill="1" applyBorder="1" applyAlignment="1">
      <x:alignment vertical="center"/>
    </x:xf>
    <x:xf numFmtId="200" fontId="10" fillId="4" borderId="1" xfId="0" applyNumberFormat="1" applyFont="1" applyFill="1" applyBorder="1" applyAlignment="1">
      <x:alignment vertical="center" wrapText="1"/>
    </x:xf>
    <x:xf numFmtId="0" fontId="10" fillId="0" borderId="1" xfId="0" applyNumberFormat="1" applyFont="1" applyFill="1" applyBorder="1" applyAlignment="1">
      <x:alignment horizontal="center" vertical="center" wrapText="1"/>
    </x:xf>
    <x:xf numFmtId="0" fontId="10" fillId="6" borderId="1" xfId="0" applyNumberFormat="1" applyFont="1" applyFill="1" applyBorder="1" applyAlignment="1">
      <x:alignment vertical="center" wrapText="1"/>
    </x:xf>
    <x:xf numFmtId="200" fontId="15" fillId="4" borderId="1" xfId="0" applyNumberFormat="1" applyFont="1" applyFill="1" applyBorder="1" applyAlignment="1">
      <x:alignment vertical="center" wrapText="1"/>
    </x:xf>
    <x:xf numFmtId="0" fontId="15" fillId="0" borderId="1" xfId="0" applyNumberFormat="1" applyFont="1" applyFill="1" applyBorder="1" applyAlignment="1">
      <x:alignment horizontal="center" vertical="center" wrapText="1"/>
    </x:xf>
    <x:xf numFmtId="0" fontId="15" fillId="6" borderId="1" xfId="0" applyNumberFormat="1" applyFont="1" applyFill="1" applyBorder="1" applyAlignment="1">
      <x:alignment vertical="center" wrapText="1"/>
    </x:xf>
    <x:xf numFmtId="201" fontId="10" fillId="4" borderId="1" xfId="0" applyNumberFormat="1" applyFont="1" applyFill="1" applyBorder="1" applyAlignment="1">
      <x:alignment vertical="center" wrapText="1"/>
    </x:xf>
    <x:xf numFmtId="202" fontId="10" fillId="4" borderId="1" xfId="0" applyNumberFormat="1" applyFont="1" applyFill="1" applyBorder="1" applyAlignment="1">
      <x:alignment vertical="center" wrapText="1"/>
    </x:xf>
    <x:xf numFmtId="203" fontId="10" fillId="6" borderId="1" xfId="0" applyNumberFormat="1" applyFont="1" applyFill="1" applyBorder="1" applyAlignment="1">
      <x:alignment vertical="center" wrapText="1"/>
    </x:xf>
    <x:xf numFmtId="201" fontId="15" fillId="4" borderId="1" xfId="0" applyNumberFormat="1" applyFont="1" applyFill="1" applyBorder="1" applyAlignment="1">
      <x:alignment vertical="center" wrapText="1"/>
    </x:xf>
    <x:xf numFmtId="202" fontId="15" fillId="4" borderId="1" xfId="0" applyNumberFormat="1" applyFont="1" applyFill="1" applyBorder="1" applyAlignment="1">
      <x:alignment vertical="center" wrapText="1"/>
    </x:xf>
    <x:xf numFmtId="203" fontId="15" fillId="6" borderId="1" xfId="0" applyNumberFormat="1" applyFont="1" applyFill="1" applyBorder="1" applyAlignment="1">
      <x:alignment vertical="center" wrapText="1"/>
    </x:xf>
    <x:xf numFmtId="204" fontId="10" fillId="0" borderId="1" xfId="0" applyNumberFormat="1" applyFont="1" applyFill="1" applyBorder="1" applyAlignment="1">
      <x:alignment vertical="center" wrapText="1"/>
    </x:xf>
    <x:xf numFmtId="204" fontId="15" fillId="0" borderId="1" xfId="0" applyNumberFormat="1" applyFont="1" applyFill="1" applyBorder="1" applyAlignment="1">
      <x:alignment vertical="center" wrapText="1"/>
    </x:xf>
    <x:xf numFmtId="205" fontId="10" fillId="6" borderId="1" xfId="0" applyNumberFormat="1" applyFont="1" applyFill="1" applyBorder="1" applyAlignment="1">
      <x:alignment vertical="center" wrapText="1"/>
    </x:xf>
    <x:xf numFmtId="205" fontId="15" fillId="6" borderId="1" xfId="0" applyNumberFormat="1" applyFont="1" applyFill="1" applyBorder="1" applyAlignment="1">
      <x:alignment vertical="center" wrapText="1"/>
    </x:xf>
    <x:xf numFmtId="200" fontId="10" fillId="0" borderId="1" xfId="0" applyNumberFormat="1" applyFont="1" applyFill="1" applyBorder="1" applyAlignment="1">
      <x:alignment vertical="center" wrapText="1"/>
    </x:xf>
    <x:xf numFmtId="200" fontId="15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7">
    <x:dxf>
      <x:fill>
        <x:patternFill patternType="solid">
          <x:bgColor rgb="FFD9EAD3"/>
        </x:patternFill>
      </x:fill>
    </x:dxf>
    <x:dxf>
      <x:fill>
        <x:patternFill patternType="solid">
          <x:bgColor rgb="FFF4CCCC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F4CCCC"/>
        </x:patternFill>
      </x:fill>
    </x:dxf>
    <x:dxf>
      <x:font>
        <x:b/>
      </x:font>
      <x:fill>
        <x:patternFill patternType="solid">
          <x:bgColor rgb="FFD9EAD3"/>
        </x:patternFill>
      </x:fill>
    </x:dxf>
    <x:dxf>
      <x:fill>
        <x:patternFill patternType="solid">
          <x:bgColor rgb="FFFCE5CD"/>
        </x:patternFill>
      </x:fill>
    </x:dxf>
    <x:dxf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329a1900014dde" /><Relationship Type="http://schemas.openxmlformats.org/officeDocument/2006/relationships/theme" Target="/xl/theme/theme1.xml" Id="Rb06d5a529e4044e9" /><Relationship Type="http://schemas.openxmlformats.org/officeDocument/2006/relationships/sharedStrings" Target="/xl/sharedStrings.xml" Id="R1b3dc2fbe7894c3e" /><Relationship Type="http://schemas.openxmlformats.org/officeDocument/2006/relationships/worksheet" Target="/xl/worksheets/sheet1.xml" Id="R44be36b32ca644f5" /><Relationship Type="http://schemas.openxmlformats.org/officeDocument/2006/relationships/worksheet" Target="/xl/worksheets/sheet2.xml" Id="Rd3c4b9c76e6f4c8c" /><Relationship Type="http://schemas.openxmlformats.org/officeDocument/2006/relationships/worksheet" Target="/xl/worksheets/sheet3.xml" Id="R33d84ade208d4b92" /><Relationship Type="http://schemas.openxmlformats.org/officeDocument/2006/relationships/worksheet" Target="/xl/worksheets/sheet4.xml" Id="Rc11fd48fefb745be" /><Relationship Type="http://schemas.openxmlformats.org/officeDocument/2006/relationships/worksheet" Target="/xl/worksheets/sheet5.xml" Id="R56a91cabb1db43a8" /><Relationship Type="http://schemas.openxmlformats.org/officeDocument/2006/relationships/worksheet" Target="/xl/worksheets/sheet6.xml" Id="Rcfceec090f7c4e15" /><Relationship Type="http://schemas.openxmlformats.org/officeDocument/2006/relationships/worksheet" Target="/xl/worksheets/sheet7.xml" Id="R10e7d5f2fa9f4f29" /><Relationship Type="http://schemas.openxmlformats.org/officeDocument/2006/relationships/worksheet" Target="/xl/worksheets/sheet8.xml" Id="R8078999a7d864d64" /><Relationship Type="http://schemas.openxmlformats.org/officeDocument/2006/relationships/worksheet" Target="/xl/worksheets/sheet9.xml" Id="R38177643c9c84a74" /></Relationships>
</file>

<file path=xl/tables/table1.xml><?xml version="1.0" encoding="utf-8"?>
<x:table xmlns:x="http://schemas.openxmlformats.org/spreadsheetml/2006/main" id="1" name="IPLedger" displayName="IPLedger" ref="A4:S104" headerRowCount="1" totalsRowCount="0" totalsRowShown="0">
  <x:tableColumns count="19">
    <x:tableColumn id="1" name="IP编号"/>
    <x:tableColumn id="2" name="类别"/>
    <x:tableColumn id="3" name="类型"/>
    <x:tableColumn id="4" name="名称"/>
    <x:tableColumn id="5" name="申请号"/>
    <x:tableColumn id="6" name="授权号"/>
    <x:tableColumn id="7" name="授权日"/>
    <x:tableColumn id="8" name="法律状态"/>
    <x:tableColumn id="9" name="权属符合"/>
    <x:tableColumn id="10" name="获得方式"/>
    <x:tableColumn id="11" name="曾申报未通过使用"/>
    <x:tableColumn id="12" name="曾在通过认定中使用"/>
    <x:tableColumn id="13" name="对应RD"/>
    <x:tableColumn id="14" name="核心技术"/>
    <x:tableColumn id="15" name="对应高品"/>
    <x:tableColumn id="16" name="核心支持强度"/>
    <x:tableColumn id="17" name="证据完整度"/>
    <x:tableColumn id="18" name="本次可用性"/>
    <x:tableColumn id="1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nversionLedger" displayName="ConversionLedger" ref="A4:P104" headerRowCount="1" totalsRowCount="0" totalsRowShown="0">
  <x:tableColumns count="16">
    <x:tableColumn id="1" name="转化编号"/>
    <x:tableColumn id="2" name="年度"/>
    <x:tableColumn id="3" name="成果名称"/>
    <x:tableColumn id="4" name="成果来源类型"/>
    <x:tableColumn id="5" name="来源编号"/>
    <x:tableColumn id="6" name="技术边界"/>
    <x:tableColumn id="7" name="转化过程证据"/>
    <x:tableColumn id="8" name="转化载体"/>
    <x:tableColumn id="9" name="应用成效证据"/>
    <x:tableColumn id="10" name="对应高品"/>
    <x:tableColumn id="11" name="对应收入"/>
    <x:tableColumn id="12" name="独立成果"/>
    <x:tableColumn id="13" name="是否重复"/>
    <x:tableColumn id="14" name="保守判断"/>
    <x:tableColumn id="15" name="保守计数"/>
    <x:tableColumn id="16" name="争议与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mediationPlan" displayName="RemediationPlan" ref="A4:K64" headerRowCount="1" totalsRowCount="0" totalsRowShown="0">
  <x:tableColumns count="11">
    <x:tableColumn id="1" name="优先级"/>
    <x:tableColumn id="2" name="缺口"/>
    <x:tableColumn id="3" name="当前影响"/>
    <x:tableColumn id="4" name="补强性质"/>
    <x:tableColumn id="5" name="具体动作"/>
    <x:tableColumn id="6" name="证据产物"/>
    <x:tableColumn id="7" name="预计增分"/>
    <x:tableColumn id="8" name="截止时间"/>
    <x:tableColumn id="9" name="责任岗位"/>
    <x:tableColumn id="10" name="完成状态"/>
    <x:tableColumn id="11" name="复核结果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76ed40c6bbae47e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2.xml" Id="R49ff1b2fc68e4c0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3.xml" Id="Ra1d0a2d8da46401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8" hidden="0" customWidth="1"/>
    <x:col min="3" max="3" width="34" hidden="0" customWidth="1"/>
    <x:col min="4" max="4" width="20" hidden="0" customWidth="1"/>
    <x:col min="5" max="5" width="24" hidden="0" customWidth="1"/>
    <x:col min="6" max="6" width="12" hidden="0" customWidth="1"/>
    <x:col min="7" max="7" width="36" hidden="0" customWidth="1"/>
    <x:col min="8" max="8" width="14" hidden="0" customWidth="1"/>
  </x:cols>
  <x:sheetData>
    <x:row r="1" ht="34" customHeight="1">
      <x:c r="A1" s="46" t="str">
        <x:v>高新技术企业预评估双年度采集表</x:v>
      </x:c>
      <x:c r="B1" s="46" t="str">
        <x:v>高新技术企业预评估双年度采集表</x:v>
      </x:c>
      <x:c r="C1" s="46" t="str">
        <x:v>高新技术企业预评估双年度采集表</x:v>
      </x:c>
      <x:c r="D1" s="46" t="str">
        <x:v>高新技术企业预评估双年度采集表</x:v>
      </x:c>
      <x:c r="E1" s="46" t="str">
        <x:v>高新技术企业预评估双年度采集表</x:v>
      </x:c>
      <x:c r="F1" s="46" t="str">
        <x:v>高新技术企业预评估双年度采集表</x:v>
      </x:c>
      <x:c r="G1" s="46" t="str">
        <x:v>高新技术企业预评估双年度采集表</x:v>
      </x:c>
      <x:c r="H1" s="46" t="str">
        <x:v>高新技术企业预评估双年度采集表</x:v>
      </x:c>
    </x:row>
    <x:row r="2" ht="28" customHeight="1">
      <x:c r="A2" s="40" t="str">
        <x:v>用于比较今年申报与明年申报；黄色为输入，绿色为公式结果。内部 75 分缓冲线不是官方政策门槛。</x:v>
      </x:c>
      <x:c r="B2" s="40" t="str">
        <x:v>用于比较今年申报与明年申报；黄色为输入，绿色为公式结果。内部 75 分缓冲线不是官方政策门槛。</x:v>
      </x:c>
      <x:c r="C2" s="40" t="str">
        <x:v>用于比较今年申报与明年申报；黄色为输入，绿色为公式结果。内部 75 分缓冲线不是官方政策门槛。</x:v>
      </x:c>
      <x:c r="D2" s="40" t="str">
        <x:v>用于比较今年申报与明年申报；黄色为输入，绿色为公式结果。内部 75 分缓冲线不是官方政策门槛。</x:v>
      </x:c>
      <x:c r="E2" s="40" t="str">
        <x:v>用于比较今年申报与明年申报；黄色为输入，绿色为公式结果。内部 75 分缓冲线不是官方政策门槛。</x:v>
      </x:c>
      <x:c r="F2" s="40" t="str">
        <x:v>用于比较今年申报与明年申报；黄色为输入，绿色为公式结果。内部 75 分缓冲线不是官方政策门槛。</x:v>
      </x:c>
      <x:c r="G2" s="40" t="str">
        <x:v>用于比较今年申报与明年申报；黄色为输入，绿色为公式结果。内部 75 分缓冲线不是官方政策门槛。</x:v>
      </x:c>
      <x:c r="H2" s="40" t="str">
        <x:v>用于比较今年申报与明年申报；黄色为输入，绿色为公式结果。内部 75 分缓冲线不是官方政策门槛。</x:v>
      </x:c>
    </x:row>
    <x:row r="3">
      <x:c r="A3" s="47"/>
      <x:c r="B3" s="47"/>
      <x:c r="C3" s="47"/>
      <x:c r="D3" s="47"/>
      <x:c r="E3" s="47"/>
      <x:c r="F3" s="47"/>
      <x:c r="G3" s="47"/>
      <x:c r="H3" s="47"/>
    </x:row>
    <x:row r="4" ht="26.399999618530273" hidden="0" customHeight="1">
      <x:c r="A4" s="48" t="str">
        <x:v>步骤</x:v>
      </x:c>
      <x:c r="B4" s="48" t="str">
        <x:v>工作表</x:v>
      </x:c>
      <x:c r="C4" s="48" t="str">
        <x:v>填写内容</x:v>
      </x:c>
      <x:c r="D4" s="48" t="str">
        <x:v>填写责任人</x:v>
      </x:c>
      <x:c r="E4" s="48" t="str">
        <x:v>结果</x:v>
      </x:c>
      <x:c r="F4" s="48" t="str">
        <x:v>是否必须</x:v>
      </x:c>
      <x:c r="G4" s="48" t="str">
        <x:v>注意事项</x:v>
      </x:c>
      <x:c r="H4" s="48" t="str">
        <x:v>完成状态</x:v>
      </x:c>
    </x:row>
    <x:row r="5" ht="52.79999923706055" hidden="0" customHeight="1">
      <x:c r="A5" s="49" t="n">
        <x:v>1</x:v>
      </x:c>
      <x:c r="B5" s="49" t="str">
        <x:v>基础与硬门槛</x:v>
      </x:c>
      <x:c r="C5" s="49" t="str">
        <x:v>企业、地区、申报类型及九项硬门槛</x:v>
      </x:c>
      <x:c r="D5" s="49" t="str">
        <x:v>项目负责人/财务/人事</x:v>
      </x:c>
      <x:c r="E5" s="49" t="str">
        <x:v>当年及明年硬门槛状态</x:v>
      </x:c>
      <x:c r="F5" s="49" t="str">
        <x:v>是</x:v>
      </x:c>
      <x:c r="G5" s="49" t="str">
        <x:v>成长性 0 分不是硬门槛不通过</x:v>
      </x:c>
      <x:c r="H5" s="50" t="str">
        <x:v>未开始</x:v>
      </x:c>
    </x:row>
    <x:row r="6" ht="66" hidden="0" customHeight="1">
      <x:c r="A6" s="49" t="n">
        <x:v>2</x:v>
      </x:c>
      <x:c r="B6" s="49" t="str">
        <x:v>财务与成长性</x:v>
      </x:c>
      <x:c r="C6" s="49" t="str">
        <x:v>四年度收入、净资产、研发、高品收入和人员</x:v>
      </x:c>
      <x:c r="D6" s="49" t="str">
        <x:v>财务</x:v>
      </x:c>
      <x:c r="E6" s="49" t="str">
        <x:v>两年度成长性及硬比例</x:v>
      </x:c>
      <x:c r="F6" s="49" t="str">
        <x:v>是</x:v>
      </x:c>
      <x:c r="G6" s="49" t="str">
        <x:v>预测数据必须标明预测</x:v>
      </x:c>
      <x:c r="H6" s="50" t="str">
        <x:v>未开始</x:v>
      </x:c>
    </x:row>
    <x:row r="7" ht="66" hidden="0" customHeight="1">
      <x:c r="A7" s="49" t="n">
        <x:v>3</x:v>
      </x:c>
      <x:c r="B7" s="49" t="str">
        <x:v>知识产权</x:v>
      </x:c>
      <x:c r="C7" s="49" t="str">
        <x:v>逐件录入法律状态、权属、使用历史和关联</x:v>
      </x:c>
      <x:c r="D7" s="49" t="str">
        <x:v>知识产权/技术</x:v>
      </x:c>
      <x:c r="E7" s="49" t="str">
        <x:v>本次可用性</x:v>
      </x:c>
      <x:c r="F7" s="49" t="str">
        <x:v>是</x:v>
      </x:c>
      <x:c r="G7" s="49" t="str">
        <x:v>曾申报未通过不消耗Ⅱ类使用次数</x:v>
      </x:c>
      <x:c r="H7" s="50" t="str">
        <x:v>未开始</x:v>
      </x:c>
    </x:row>
    <x:row r="8" ht="66" hidden="0" customHeight="1">
      <x:c r="A8" s="49" t="n">
        <x:v>4</x:v>
      </x:c>
      <x:c r="B8" s="49" t="str">
        <x:v>成果转化</x:v>
      </x:c>
      <x:c r="C8" s="49" t="str">
        <x:v>逐项录入成果来源、过程、载体和应用成效</x:v>
      </x:c>
      <x:c r="D8" s="49" t="str">
        <x:v>技术/生产/销售</x:v>
      </x:c>
      <x:c r="E8" s="49" t="str">
        <x:v>三年保守有效数量</x:v>
      </x:c>
      <x:c r="F8" s="49" t="str">
        <x:v>是</x:v>
      </x:c>
      <x:c r="G8" s="49" t="str">
        <x:v>同一成果不得重复拆分</x:v>
      </x:c>
      <x:c r="H8" s="50" t="str">
        <x:v>未开始</x:v>
      </x:c>
    </x:row>
    <x:row r="9" ht="52.79999923706055" hidden="0" customHeight="1">
      <x:c r="A9" s="49" t="n">
        <x:v>5</x:v>
      </x:c>
      <x:c r="B9" s="49" t="str">
        <x:v>组织管理</x:v>
      </x:c>
      <x:c r="C9" s="49" t="str">
        <x:v>制度、执行、结果及三档评分</x:v>
      </x:c>
      <x:c r="D9" s="49" t="str">
        <x:v>研发/人事/财务</x:v>
      </x:c>
      <x:c r="E9" s="49" t="str">
        <x:v>目标/保守/压力分</x:v>
      </x:c>
      <x:c r="F9" s="49" t="str">
        <x:v>是</x:v>
      </x:c>
      <x:c r="G9" s="49" t="str">
        <x:v>制度文件不等于制度执行</x:v>
      </x:c>
      <x:c r="H9" s="50" t="str">
        <x:v>未开始</x:v>
      </x:c>
    </x:row>
    <x:row r="10" ht="52.79999923706055" hidden="0" customHeight="1">
      <x:c r="A10" s="49" t="n">
        <x:v>6</x:v>
      </x:c>
      <x:c r="B10" s="49" t="str">
        <x:v>双年度评分</x:v>
      </x:c>
      <x:c r="C10" s="49" t="str">
        <x:v>录入知识产权三档分，复核自动建议</x:v>
      </x:c>
      <x:c r="D10" s="49" t="str">
        <x:v>项目负责人</x:v>
      </x:c>
      <x:c r="E10" s="49" t="str">
        <x:v>申报年度建议</x:v>
      </x:c>
      <x:c r="F10" s="49" t="str">
        <x:v>是</x:v>
      </x:c>
      <x:c r="G10" s="49" t="str">
        <x:v>先看保守分，再看压力分</x:v>
      </x:c>
      <x:c r="H10" s="50" t="str">
        <x:v>未开始</x:v>
      </x:c>
    </x:row>
    <x:row r="11" ht="52.79999923706055" hidden="0" customHeight="1">
      <x:c r="A11" s="49" t="n">
        <x:v>7</x:v>
      </x:c>
      <x:c r="B11" s="49" t="str">
        <x:v>补强计划</x:v>
      </x:c>
      <x:c r="C11" s="49" t="str">
        <x:v>把缺口转成动作、证据和截止时间</x:v>
      </x:c>
      <x:c r="D11" s="49" t="str">
        <x:v>项目负责人</x:v>
      </x:c>
      <x:c r="E11" s="49" t="str">
        <x:v>可执行整改表</x:v>
      </x:c>
      <x:c r="F11" s="49" t="str">
        <x:v>是</x:v>
      </x:c>
      <x:c r="G11" s="49" t="str">
        <x:v>区分证据补强和事实补强</x:v>
      </x:c>
      <x:c r="H11" s="50" t="str">
        <x:v>未开始</x:v>
      </x:c>
    </x:row>
    <x:row r="12" ht="39.599998474121094" hidden="0" customHeight="1">
      <x:c r="A12" s="49" t="n">
        <x:v>8</x:v>
      </x:c>
      <x:c r="B12" s="49" t="str">
        <x:v>规则与来源</x:v>
      </x:c>
      <x:c r="C12" s="49" t="str">
        <x:v>核验当期政策与属地通知</x:v>
      </x:c>
      <x:c r="D12" s="49" t="str">
        <x:v>项目负责人</x:v>
      </x:c>
      <x:c r="E12" s="49" t="str">
        <x:v>来源可追溯</x:v>
      </x:c>
      <x:c r="F12" s="49" t="str">
        <x:v>是</x:v>
      </x:c>
      <x:c r="G12" s="49" t="str">
        <x:v>地方经验不得冒充国家政策</x:v>
      </x:c>
      <x:c r="H12" s="50" t="str">
        <x:v>未开始</x:v>
      </x:c>
    </x:row>
    <x:row r="13" ht="66" hidden="0" customHeight="1">
      <x:c r="A13" s="49" t="n">
        <x:v>9</x:v>
      </x:c>
      <x:c r="B13" s="49" t="str">
        <x:v>最终复核</x:v>
      </x:c>
      <x:c r="C13" s="49" t="str">
        <x:v>跨表核对专利、研发、成果、高品和收入</x:v>
      </x:c>
      <x:c r="D13" s="49" t="str">
        <x:v>复核人</x:v>
      </x:c>
      <x:c r="E13" s="49" t="str">
        <x:v>最终结论</x:v>
      </x:c>
      <x:c r="F13" s="49" t="str">
        <x:v>是</x:v>
      </x:c>
      <x:c r="G13" s="49" t="str">
        <x:v>任何矛盾保留并说明</x:v>
      </x:c>
      <x:c r="H13" s="50" t="str">
        <x:v>未开始</x:v>
      </x:c>
    </x:row>
    <x:row r="14">
      <x:c r="A14" s="47"/>
      <x:c r="B14" s="47"/>
      <x:c r="C14" s="47"/>
      <x:c r="D14" s="47"/>
      <x:c r="E14" s="47"/>
      <x:c r="F14" s="47"/>
      <x:c r="G14" s="47"/>
      <x:c r="H14" s="47"/>
    </x:row>
    <x:row r="15" ht="15" hidden="0" customHeight="1">
      <x:c r="A15" s="51" t="str">
        <x:v>输出等级</x:v>
      </x:c>
      <x:c r="B15" s="51" t="str">
        <x:v>输出等级</x:v>
      </x:c>
      <x:c r="C15" s="51" t="str">
        <x:v>输出等级</x:v>
      </x:c>
      <x:c r="D15" s="51" t="str">
        <x:v>输出等级</x:v>
      </x:c>
      <x:c r="E15" s="51" t="str">
        <x:v>输出等级</x:v>
      </x:c>
      <x:c r="F15" s="51" t="str">
        <x:v>输出等级</x:v>
      </x:c>
      <x:c r="G15" s="51" t="str">
        <x:v>输出等级</x:v>
      </x:c>
      <x:c r="H15" s="51" t="str">
        <x:v>输出等级</x:v>
      </x:c>
    </x:row>
    <x:row r="16" ht="15" hidden="0" customHeight="1">
      <x:c r="A16" s="48" t="str">
        <x:v>等级</x:v>
      </x:c>
      <x:c r="B16" s="48" t="str">
        <x:v>判定</x:v>
      </x:c>
      <x:c r="C16" s="48" t="str">
        <x:v>硬门槛</x:v>
      </x:c>
      <x:c r="D16" s="48" t="str">
        <x:v>保守分</x:v>
      </x:c>
      <x:c r="E16" s="48" t="str">
        <x:v>压力分</x:v>
      </x:c>
      <x:c r="F16" s="48" t="str">
        <x:v>年度比较</x:v>
      </x:c>
      <x:c r="G16" s="48" t="str">
        <x:v>建议</x:v>
      </x:c>
      <x:c r="H16" s="48" t="str">
        <x:v>说明</x:v>
      </x:c>
    </x:row>
    <x:row r="17" ht="52.79999923706055" hidden="0" customHeight="1">
      <x:c r="A17" s="49" t="str">
        <x:v>A</x:v>
      </x:c>
      <x:c r="B17" s="49" t="str">
        <x:v>建议当年申报</x:v>
      </x:c>
      <x:c r="C17" s="49" t="str">
        <x:v>全部通过</x:v>
      </x:c>
      <x:c r="D17" s="49" t="str">
        <x:v>≥75</x:v>
      </x:c>
      <x:c r="E17" s="49" t="str">
        <x:v>原则上≥71</x:v>
      </x:c>
      <x:c r="F17" s="49" t="str">
        <x:v>下一年净改善有限</x:v>
      </x:c>
      <x:c r="G17" s="49" t="str">
        <x:v>今年申报</x:v>
      </x:c>
      <x:c r="H17" s="49" t="str">
        <x:v>仍需以当期政策和正式材料为准</x:v>
      </x:c>
    </x:row>
    <x:row r="18" ht="26.399999618530273" hidden="0" customHeight="1">
      <x:c r="A18" s="49" t="str">
        <x:v>B</x:v>
      </x:c>
      <x:c r="B18" s="49" t="str">
        <x:v>补强后当年申报</x:v>
      </x:c>
      <x:c r="C18" s="49" t="str">
        <x:v>全部通过</x:v>
      </x:c>
      <x:c r="D18" s="49" t="str">
        <x:v>71—74</x:v>
      </x:c>
      <x:c r="E18" s="49" t="str">
        <x:v>存在可控争议</x:v>
      </x:c>
      <x:c r="F18" s="49" t="str">
        <x:v>截止前可真实补强</x:v>
      </x:c>
      <x:c r="G18" s="49" t="str">
        <x:v>补强后今年申报</x:v>
      </x:c>
      <x:c r="H18" s="49" t="str">
        <x:v>补强后重新评分</x:v>
      </x:c>
    </x:row>
    <x:row r="19" ht="39.599998474121094" hidden="0" customHeight="1">
      <x:c r="A19" s="49" t="str">
        <x:v>C</x:v>
      </x:c>
      <x:c r="B19" s="49" t="str">
        <x:v>建议下一年申报</x:v>
      </x:c>
      <x:c r="C19" s="49" t="str">
        <x:v>当年通过或可整改</x:v>
      </x:c>
      <x:c r="D19" s="49" t="str">
        <x:v>≤70</x:v>
      </x:c>
      <x:c r="E19" s="49" t="str">
        <x:v>明显偏低</x:v>
      </x:c>
      <x:c r="F19" s="49" t="str">
        <x:v>下一年有可验证净改善</x:v>
      </x:c>
      <x:c r="G19" s="49" t="str">
        <x:v>明年申报</x:v>
      </x:c>
      <x:c r="H19" s="49" t="str">
        <x:v>必须扣除退出年度损失</x:v>
      </x:c>
    </x:row>
    <x:row r="20" ht="39.599998474121094" hidden="0" customHeight="1">
      <x:c r="A20" s="49" t="str">
        <x:v>D</x:v>
      </x:c>
      <x:c r="B20" s="49" t="str">
        <x:v>两年均暂缓</x:v>
      </x:c>
      <x:c r="C20" s="49" t="str">
        <x:v>存在持续否决项</x:v>
      </x:c>
      <x:c r="D20" s="49" t="str">
        <x:v>不足</x:v>
      </x:c>
      <x:c r="E20" s="49" t="str">
        <x:v>不足</x:v>
      </x:c>
      <x:c r="F20" s="49" t="str">
        <x:v>下一年改善不确定</x:v>
      </x:c>
      <x:c r="G20" s="49" t="str">
        <x:v>暂缓</x:v>
      </x:c>
      <x:c r="H20" s="49" t="str">
        <x:v>先解决硬门槛或真实性问题</x:v>
      </x:c>
    </x:row>
  </x:sheetData>
  <x:mergeCells>
    <x:mergeCell ref="A1:H1"/>
    <x:mergeCell ref="A2:H2"/>
    <x:mergeCell ref="A15:H15"/>
  </x:mergeCells>
  <x:dataValidations count="1">
    <x:dataValidation type="list" sqref="H5:H13">
      <x:formula1>"未开始,进行中,已完成,不适用"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4" hidden="0" customWidth="1"/>
    <x:col min="3" max="3" width="16" hidden="0" customWidth="1"/>
    <x:col min="4" max="4" width="16" hidden="0" customWidth="1"/>
    <x:col min="5" max="5" width="34" hidden="0" customWidth="1"/>
    <x:col min="6" max="6" width="34" hidden="0" customWidth="1"/>
  </x:cols>
  <x:sheetData>
    <x:row r="1" ht="19.200000762939453" hidden="0" customHeight="1">
      <x:c r="A1" s="46" t="str">
        <x:v>基础信息与硬门槛</x:v>
      </x:c>
      <x:c r="B1" s="46" t="str">
        <x:v>基础信息与硬门槛</x:v>
      </x:c>
      <x:c r="C1" s="46" t="str">
        <x:v>基础信息与硬门槛</x:v>
      </x:c>
      <x:c r="D1" s="46" t="str">
        <x:v>基础信息与硬门槛</x:v>
      </x:c>
      <x:c r="E1" s="46" t="str">
        <x:v>基础信息与硬门槛</x:v>
      </x:c>
      <x:c r="F1" s="46" t="str">
        <x:v>基础信息与硬门槛</x:v>
      </x:c>
    </x:row>
    <x:row r="2" ht="15" hidden="0" customHeight="1">
      <x:c r="A2" s="40" t="str">
        <x:v>“否”触发不通过；“待核”触发待核。成长性得分不在本表作为硬门槛。</x:v>
      </x:c>
      <x:c r="B2" s="40" t="str">
        <x:v>“否”触发不通过；“待核”触发待核。成长性得分不在本表作为硬门槛。</x:v>
      </x:c>
      <x:c r="C2" s="40" t="str">
        <x:v>“否”触发不通过；“待核”触发待核。成长性得分不在本表作为硬门槛。</x:v>
      </x:c>
      <x:c r="D2" s="40" t="str">
        <x:v>“否”触发不通过；“待核”触发待核。成长性得分不在本表作为硬门槛。</x:v>
      </x:c>
      <x:c r="E2" s="40" t="str">
        <x:v>“否”触发不通过；“待核”触发待核。成长性得分不在本表作为硬门槛。</x:v>
      </x:c>
      <x:c r="F2" s="40" t="str">
        <x:v>“否”触发不通过；“待核”触发待核。成长性得分不在本表作为硬门槛。</x:v>
      </x:c>
    </x:row>
    <x:row r="3">
      <x:c r="A3" s="47"/>
      <x:c r="B3" s="47"/>
      <x:c r="C3" s="47"/>
      <x:c r="D3" s="47"/>
      <x:c r="E3" s="47"/>
      <x:c r="F3" s="47"/>
    </x:row>
    <x:row r="4" ht="15" hidden="0" customHeight="1">
      <x:c r="A4" s="48" t="str">
        <x:v>基础字段</x:v>
      </x:c>
      <x:c r="B4" s="48" t="str">
        <x:v>填写值</x:v>
      </x:c>
      <x:c r="C4" s="47"/>
      <x:c r="D4" s="47"/>
      <x:c r="E4" s="47"/>
      <x:c r="F4" s="47"/>
    </x:row>
    <x:row r="5" ht="15" hidden="0" customHeight="1">
      <x:c r="A5" s="49" t="str">
        <x:v>企业名称</x:v>
      </x:c>
      <x:c r="B5" s="50" t="str"/>
      <x:c r="C5" s="47"/>
      <x:c r="D5" s="47"/>
      <x:c r="E5" s="47"/>
      <x:c r="F5" s="47"/>
    </x:row>
    <x:row r="6" ht="26.399999618530273" hidden="0" customHeight="1">
      <x:c r="A6" s="49" t="str">
        <x:v>统一社会信用代码</x:v>
      </x:c>
      <x:c r="B6" s="50" t="str"/>
      <x:c r="C6" s="47"/>
      <x:c r="D6" s="47"/>
      <x:c r="E6" s="47"/>
      <x:c r="F6" s="47"/>
    </x:row>
    <x:row r="7" ht="15" hidden="0" customHeight="1">
      <x:c r="A7" s="49" t="str">
        <x:v>申报地区</x:v>
      </x:c>
      <x:c r="B7" s="50" t="str">
        <x:v>浙江省</x:v>
      </x:c>
      <x:c r="C7" s="47"/>
      <x:c r="D7" s="47"/>
      <x:c r="E7" s="47"/>
      <x:c r="F7" s="47"/>
    </x:row>
    <x:row r="8" ht="26.399999618530273" hidden="0" customHeight="1">
      <x:c r="A8" s="49" t="str">
        <x:v>拟申报年度</x:v>
      </x:c>
      <x:c r="B8" s="50" t="n">
        <x:v>2026</x:v>
      </x:c>
      <x:c r="C8" s="47"/>
      <x:c r="D8" s="47"/>
      <x:c r="E8" s="47"/>
      <x:c r="F8" s="47"/>
    </x:row>
    <x:row r="9" ht="15" hidden="0" customHeight="1">
      <x:c r="A9" s="49" t="str">
        <x:v>申报类型</x:v>
      </x:c>
      <x:c r="B9" s="50" t="str">
        <x:v>首次认定</x:v>
      </x:c>
      <x:c r="C9" s="47"/>
      <x:c r="D9" s="47"/>
      <x:c r="E9" s="47"/>
      <x:c r="F9" s="47"/>
    </x:row>
    <x:row r="10" ht="26.399999618530273" hidden="0" customHeight="1">
      <x:c r="A10" s="49" t="str">
        <x:v>当前填表日期</x:v>
      </x:c>
      <x:c r="B10" s="55" t="n">
        <x:v>46227</x:v>
      </x:c>
      <x:c r="C10" s="47"/>
      <x:c r="D10" s="47"/>
      <x:c r="E10" s="47"/>
      <x:c r="F10" s="47"/>
    </x:row>
    <x:row r="11">
      <x:c r="A11" s="47"/>
      <x:c r="B11" s="47"/>
      <x:c r="C11" s="47"/>
      <x:c r="D11" s="47"/>
      <x:c r="E11" s="47"/>
      <x:c r="F11" s="47"/>
    </x:row>
    <x:row r="12" ht="15" hidden="0" customHeight="1">
      <x:c r="A12" s="51" t="str">
        <x:v>硬门槛逐项核验</x:v>
      </x:c>
      <x:c r="B12" s="51" t="str">
        <x:v>硬门槛逐项核验</x:v>
      </x:c>
      <x:c r="C12" s="51" t="str">
        <x:v>硬门槛逐项核验</x:v>
      </x:c>
      <x:c r="D12" s="51" t="str">
        <x:v>硬门槛逐项核验</x:v>
      </x:c>
      <x:c r="E12" s="51" t="str">
        <x:v>硬门槛逐项核验</x:v>
      </x:c>
      <x:c r="F12" s="51" t="str">
        <x:v>硬门槛逐项核验</x:v>
      </x:c>
    </x:row>
    <x:row r="13" ht="26.399999618530273" hidden="0" customHeight="1">
      <x:c r="A13" s="48" t="str">
        <x:v>序号</x:v>
      </x:c>
      <x:c r="B13" s="48" t="str">
        <x:v>硬门槛</x:v>
      </x:c>
      <x:c r="C13" s="48" t="str">
        <x:v>当年状态</x:v>
      </x:c>
      <x:c r="D13" s="48" t="str">
        <x:v>下一年预测</x:v>
      </x:c>
      <x:c r="E13" s="48" t="str">
        <x:v>事实/资料来源</x:v>
      </x:c>
      <x:c r="F13" s="48" t="str">
        <x:v>缺口及处理</x:v>
      </x:c>
    </x:row>
    <x:row r="14" ht="26.399999618530273" hidden="0" customHeight="1">
      <x:c r="A14" s="56" t="n">
        <x:v>1</x:v>
      </x:c>
      <x:c r="B14" s="49" t="str">
        <x:v>注册成立一年以上</x:v>
      </x:c>
      <x:c r="C14" s="50" t="str">
        <x:v>待核</x:v>
      </x:c>
      <x:c r="D14" s="50" t="str">
        <x:v>待核</x:v>
      </x:c>
      <x:c r="E14" s="50" t="str"/>
      <x:c r="F14" s="50" t="str"/>
    </x:row>
    <x:row r="15" ht="39.599998474121094" hidden="0" customHeight="1">
      <x:c r="A15" s="56" t="n">
        <x:v>2</x:v>
      </x:c>
      <x:c r="B15" s="49" t="str">
        <x:v>拥有核心知识产权所有权</x:v>
      </x:c>
      <x:c r="C15" s="50" t="str">
        <x:v>待核</x:v>
      </x:c>
      <x:c r="D15" s="50" t="str">
        <x:v>待核</x:v>
      </x:c>
      <x:c r="E15" s="50" t="str"/>
      <x:c r="F15" s="50" t="str"/>
    </x:row>
    <x:row r="16" ht="39.599998474121094" hidden="0" customHeight="1">
      <x:c r="A16" s="56" t="n">
        <x:v>3</x:v>
      </x:c>
      <x:c r="B16" s="49" t="str">
        <x:v>核心技术属于高新技术领域</x:v>
      </x:c>
      <x:c r="C16" s="50" t="str">
        <x:v>待核</x:v>
      </x:c>
      <x:c r="D16" s="50" t="str">
        <x:v>待核</x:v>
      </x:c>
      <x:c r="E16" s="50" t="str"/>
      <x:c r="F16" s="50" t="str"/>
    </x:row>
    <x:row r="17" ht="39.599998474121094" hidden="0" customHeight="1">
      <x:c r="A17" s="56" t="n">
        <x:v>4</x:v>
      </x:c>
      <x:c r="B17" s="49" t="str">
        <x:v>科技人员占比不低于10%</x:v>
      </x:c>
      <x:c r="C17" s="50" t="str">
        <x:v>待核</x:v>
      </x:c>
      <x:c r="D17" s="50" t="str">
        <x:v>待核</x:v>
      </x:c>
      <x:c r="E17" s="50" t="str"/>
      <x:c r="F17" s="50" t="str"/>
    </x:row>
    <x:row r="18" ht="39.599998474121094" hidden="0" customHeight="1">
      <x:c r="A18" s="56" t="n">
        <x:v>5</x:v>
      </x:c>
      <x:c r="B18" s="49" t="str">
        <x:v>研发费用占比达到对应档次</x:v>
      </x:c>
      <x:c r="C18" s="50" t="str">
        <x:v>待核</x:v>
      </x:c>
      <x:c r="D18" s="50" t="str">
        <x:v>待核</x:v>
      </x:c>
      <x:c r="E18" s="50" t="str"/>
      <x:c r="F18" s="50" t="str"/>
    </x:row>
    <x:row r="19" ht="52.79999923706055" hidden="0" customHeight="1">
      <x:c r="A19" s="56" t="n">
        <x:v>6</x:v>
      </x:c>
      <x:c r="B19" s="49" t="str">
        <x:v>境内研发费用占比不低于60%</x:v>
      </x:c>
      <x:c r="C19" s="50" t="str">
        <x:v>待核</x:v>
      </x:c>
      <x:c r="D19" s="50" t="str">
        <x:v>待核</x:v>
      </x:c>
      <x:c r="E19" s="50" t="str"/>
      <x:c r="F19" s="50" t="str"/>
    </x:row>
    <x:row r="20" ht="52.79999923706055" hidden="0" customHeight="1">
      <x:c r="A20" s="56" t="n">
        <x:v>7</x:v>
      </x:c>
      <x:c r="B20" s="49" t="str">
        <x:v>高新产品或服务收入占比不低于60%</x:v>
      </x:c>
      <x:c r="C20" s="50" t="str">
        <x:v>待核</x:v>
      </x:c>
      <x:c r="D20" s="50" t="str">
        <x:v>待核</x:v>
      </x:c>
      <x:c r="E20" s="50" t="str"/>
      <x:c r="F20" s="50" t="str"/>
    </x:row>
    <x:row r="21" ht="39.599998474121094" hidden="0" customHeight="1">
      <x:c r="A21" s="56" t="n">
        <x:v>8</x:v>
      </x:c>
      <x:c r="B21" s="49" t="str">
        <x:v>创新能力评价超过70分</x:v>
      </x:c>
      <x:c r="C21" s="50" t="str">
        <x:v>待核</x:v>
      </x:c>
      <x:c r="D21" s="50" t="str">
        <x:v>待核</x:v>
      </x:c>
      <x:c r="E21" s="50" t="str"/>
      <x:c r="F21" s="50" t="str"/>
    </x:row>
    <x:row r="22" ht="52.79999923706055" hidden="0" customHeight="1">
      <x:c r="A22" s="56" t="n">
        <x:v>9</x:v>
      </x:c>
      <x:c r="B22" s="49" t="str">
        <x:v>前一年无重大事故或严重环境违法</x:v>
      </x:c>
      <x:c r="C22" s="50" t="str">
        <x:v>待核</x:v>
      </x:c>
      <x:c r="D22" s="50" t="str">
        <x:v>待核</x:v>
      </x:c>
      <x:c r="E22" s="50" t="str"/>
      <x:c r="F22" s="50" t="str"/>
    </x:row>
    <x:row r="23">
      <x:c r="A23" s="47"/>
      <x:c r="B23" s="47"/>
      <x:c r="C23" s="47"/>
      <x:c r="D23" s="47"/>
      <x:c r="E23" s="47"/>
      <x:c r="F23" s="47"/>
    </x:row>
    <x:row r="24" ht="15" hidden="0" customHeight="1">
      <x:c r="A24" s="48" t="str">
        <x:v>汇总结论</x:v>
      </x:c>
      <x:c r="B24" s="48" t="str">
        <x:v>当年</x:v>
      </x:c>
      <x:c r="C24" s="47"/>
      <x:c r="D24" s="47"/>
      <x:c r="E24" s="47"/>
      <x:c r="F24" s="47"/>
    </x:row>
    <x:row r="25" ht="15" hidden="0" customHeight="1">
      <x:c r="A25" s="47" t="str">
        <x:v>当年硬门槛</x:v>
      </x:c>
      <x:c r="B25" s="57" t="str">
        <x:f>IF(COUNTIF(C14:C22,"否")&gt;0,"不通过",IF(OR(COUNTIF(C14:C22,"待核")&gt;0,COUNTBLANK(C14:C22)&gt;0),"待核","通过"))</x:f>
        <x:v>待核</x:v>
      </x:c>
      <x:c r="C25" s="47"/>
      <x:c r="D25" s="47"/>
      <x:c r="E25" s="47"/>
      <x:c r="F25" s="47"/>
    </x:row>
    <x:row r="26" ht="15" hidden="0" customHeight="1">
      <x:c r="A26" s="47" t="str">
        <x:v>下一年硬门槛</x:v>
      </x:c>
      <x:c r="B26" s="57" t="str">
        <x:f>IF(COUNTIF(D14:D22,"否")&gt;0,"不通过",IF(OR(COUNTIF(D14:D22,"待核")&gt;0,COUNTBLANK(D14:D22)&gt;0),"待核","通过"))</x:f>
        <x:v>待核</x:v>
      </x:c>
      <x:c r="C26" s="47"/>
      <x:c r="D26" s="47"/>
      <x:c r="E26" s="47"/>
      <x:c r="F26" s="47"/>
    </x:row>
  </x:sheetData>
  <x:mergeCells>
    <x:mergeCell ref="A1:F1"/>
    <x:mergeCell ref="A2:F2"/>
    <x:mergeCell ref="A12:F12"/>
  </x:mergeCells>
  <x:dataValidations count="2">
    <x:dataValidation type="list" sqref="B9">
      <x:formula1>"首次认定,重新认定,曾申报未通过"</x:formula1>
    </x:dataValidation>
    <x:dataValidation type="list" sqref="C14:D22">
      <x:formula1>"是,否,待核"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2" hidden="0" customWidth="1"/>
    <x:col min="7" max="7" width="18" hidden="0" customWidth="1"/>
    <x:col min="8" max="8" width="28" hidden="0" customWidth="1"/>
  </x:cols>
  <x:sheetData>
    <x:row r="1" ht="19.200000762939453" hidden="0" customHeight="1">
      <x:c r="A1" s="46" t="str">
        <x:v>财务、人员与成长性</x:v>
      </x:c>
      <x:c r="B1" s="46" t="str">
        <x:v>财务、人员与成长性</x:v>
      </x:c>
      <x:c r="C1" s="46" t="str">
        <x:v>财务、人员与成长性</x:v>
      </x:c>
      <x:c r="D1" s="46" t="str">
        <x:v>财务、人员与成长性</x:v>
      </x:c>
      <x:c r="E1" s="46" t="str">
        <x:v>财务、人员与成长性</x:v>
      </x:c>
      <x:c r="F1" s="46" t="str">
        <x:v>财务、人员与成长性</x:v>
      </x:c>
      <x:c r="G1" s="46" t="str">
        <x:v>财务、人员与成长性</x:v>
      </x:c>
      <x:c r="H1" s="46" t="str">
        <x:v>财务、人员与成长性</x:v>
      </x:c>
    </x:row>
    <x:row r="2" ht="15" hidden="0" customHeight="1">
      <x:c r="A2" s="40" t="str">
        <x:v>录入连续四个年度。前三列用于当年申报，后三列用于下一年申报；预测值必须在口径列说明。</x:v>
      </x:c>
      <x:c r="B2" s="40" t="str">
        <x:v>录入连续四个年度。前三列用于当年申报，后三列用于下一年申报；预测值必须在口径列说明。</x:v>
      </x:c>
      <x:c r="C2" s="40" t="str">
        <x:v>录入连续四个年度。前三列用于当年申报，后三列用于下一年申报；预测值必须在口径列说明。</x:v>
      </x:c>
      <x:c r="D2" s="40" t="str">
        <x:v>录入连续四个年度。前三列用于当年申报，后三列用于下一年申报；预测值必须在口径列说明。</x:v>
      </x:c>
      <x:c r="E2" s="40" t="str">
        <x:v>录入连续四个年度。前三列用于当年申报，后三列用于下一年申报；预测值必须在口径列说明。</x:v>
      </x:c>
      <x:c r="F2" s="40" t="str">
        <x:v>录入连续四个年度。前三列用于当年申报，后三列用于下一年申报；预测值必须在口径列说明。</x:v>
      </x:c>
      <x:c r="G2" s="40" t="str">
        <x:v>录入连续四个年度。前三列用于当年申报，后三列用于下一年申报；预测值必须在口径列说明。</x:v>
      </x:c>
      <x:c r="H2" s="40" t="str">
        <x:v>录入连续四个年度。前三列用于当年申报，后三列用于下一年申报；预测值必须在口径列说明。</x:v>
      </x:c>
    </x:row>
    <x:row r="3">
      <x:c r="A3" s="47"/>
      <x:c r="B3" s="47"/>
      <x:c r="C3" s="47"/>
      <x:c r="D3" s="47"/>
      <x:c r="E3" s="47"/>
      <x:c r="F3" s="47"/>
      <x:c r="G3" s="47"/>
      <x:c r="H3" s="47"/>
    </x:row>
    <x:row r="4" ht="15" hidden="0" customHeight="1">
      <x:c r="A4" s="48" t="str">
        <x:v>项目</x:v>
      </x:c>
      <x:c r="B4" s="48" t="str">
        <x:v>Y-3</x:v>
      </x:c>
      <x:c r="C4" s="48" t="str">
        <x:v>Y-2</x:v>
      </x:c>
      <x:c r="D4" s="48" t="str">
        <x:v>Y-1</x:v>
      </x:c>
      <x:c r="E4" s="48" t="str">
        <x:v>Y</x:v>
      </x:c>
      <x:c r="F4" s="48" t="str">
        <x:v>单位</x:v>
      </x:c>
      <x:c r="G4" s="48" t="str">
        <x:v>数据口径</x:v>
      </x:c>
      <x:c r="H4" s="48" t="str">
        <x:v>备注</x:v>
      </x:c>
    </x:row>
    <x:row r="5" ht="15" hidden="0" customHeight="1">
      <x:c r="A5" s="49" t="str">
        <x:v>年度</x:v>
      </x:c>
      <x:c r="B5" s="50" t="n">
        <x:v>2023</x:v>
      </x:c>
      <x:c r="C5" s="50" t="n">
        <x:v>2024</x:v>
      </x:c>
      <x:c r="D5" s="50" t="n">
        <x:v>2025</x:v>
      </x:c>
      <x:c r="E5" s="50" t="n">
        <x:v>2026</x:v>
      </x:c>
      <x:c r="F5" s="49" t="str">
        <x:v>年</x:v>
      </x:c>
      <x:c r="G5" s="50" t="str">
        <x:v>实际/预测</x:v>
      </x:c>
      <x:c r="H5" s="50" t="str"/>
    </x:row>
    <x:row r="6" ht="15" hidden="0" customHeight="1">
      <x:c r="A6" s="49" t="str">
        <x:v>销售收入</x:v>
      </x:c>
      <x:c r="B6" s="61"/>
      <x:c r="C6" s="61"/>
      <x:c r="D6" s="61"/>
      <x:c r="E6" s="61"/>
      <x:c r="F6" s="49" t="str">
        <x:v>万元</x:v>
      </x:c>
      <x:c r="G6" s="50" t="str"/>
      <x:c r="H6" s="50" t="str"/>
    </x:row>
    <x:row r="7" ht="15" hidden="0" customHeight="1">
      <x:c r="A7" s="49" t="str">
        <x:v>净资产</x:v>
      </x:c>
      <x:c r="B7" s="61"/>
      <x:c r="C7" s="61"/>
      <x:c r="D7" s="61"/>
      <x:c r="E7" s="61"/>
      <x:c r="F7" s="49" t="str">
        <x:v>万元</x:v>
      </x:c>
      <x:c r="G7" s="50" t="str"/>
      <x:c r="H7" s="50" t="str"/>
    </x:row>
    <x:row r="8" ht="15" hidden="0" customHeight="1">
      <x:c r="A8" s="49" t="str">
        <x:v>研发费用</x:v>
      </x:c>
      <x:c r="B8" s="61"/>
      <x:c r="C8" s="61"/>
      <x:c r="D8" s="61"/>
      <x:c r="E8" s="61"/>
      <x:c r="F8" s="49" t="str">
        <x:v>万元</x:v>
      </x:c>
      <x:c r="G8" s="50" t="str"/>
      <x:c r="H8" s="50" t="str"/>
    </x:row>
    <x:row r="9" ht="26.399999618530273" hidden="0" customHeight="1">
      <x:c r="A9" s="49" t="str">
        <x:v>境内研发费用</x:v>
      </x:c>
      <x:c r="B9" s="61"/>
      <x:c r="C9" s="61"/>
      <x:c r="D9" s="61"/>
      <x:c r="E9" s="61"/>
      <x:c r="F9" s="49" t="str">
        <x:v>万元</x:v>
      </x:c>
      <x:c r="G9" s="50" t="str"/>
      <x:c r="H9" s="50" t="str"/>
    </x:row>
    <x:row r="10" ht="15" hidden="0" customHeight="1">
      <x:c r="A10" s="49" t="str">
        <x:v>总收入</x:v>
      </x:c>
      <x:c r="B10" s="61"/>
      <x:c r="C10" s="61"/>
      <x:c r="D10" s="61"/>
      <x:c r="E10" s="61"/>
      <x:c r="F10" s="49" t="str">
        <x:v>万元</x:v>
      </x:c>
      <x:c r="G10" s="50" t="str"/>
      <x:c r="H10" s="50" t="str"/>
    </x:row>
    <x:row r="11" ht="39.599998474121094" hidden="0" customHeight="1">
      <x:c r="A11" s="49" t="str">
        <x:v>高新产品或服务收入</x:v>
      </x:c>
      <x:c r="B11" s="61"/>
      <x:c r="C11" s="61"/>
      <x:c r="D11" s="61"/>
      <x:c r="E11" s="61"/>
      <x:c r="F11" s="49" t="str">
        <x:v>万元</x:v>
      </x:c>
      <x:c r="G11" s="50" t="str"/>
      <x:c r="H11" s="50" t="str"/>
    </x:row>
    <x:row r="12" ht="15" hidden="0" customHeight="1">
      <x:c r="A12" s="49" t="str">
        <x:v>职工总数</x:v>
      </x:c>
      <x:c r="B12" s="62"/>
      <x:c r="C12" s="62"/>
      <x:c r="D12" s="62"/>
      <x:c r="E12" s="62"/>
      <x:c r="F12" s="49" t="str">
        <x:v>人</x:v>
      </x:c>
      <x:c r="G12" s="50" t="str"/>
      <x:c r="H12" s="50" t="str"/>
    </x:row>
    <x:row r="13" ht="26.399999618530273" hidden="0" customHeight="1">
      <x:c r="A13" s="49" t="str">
        <x:v>科技人员数</x:v>
      </x:c>
      <x:c r="B13" s="62"/>
      <x:c r="C13" s="62"/>
      <x:c r="D13" s="62"/>
      <x:c r="E13" s="62"/>
      <x:c r="F13" s="49" t="str">
        <x:v>人</x:v>
      </x:c>
      <x:c r="G13" s="50" t="str"/>
      <x:c r="H13" s="50" t="str"/>
    </x:row>
    <x:row r="14" ht="39.599998474121094" hidden="0" customHeight="1">
      <x:c r="A14" s="49" t="str">
        <x:v>最近一年销售收入档次</x:v>
      </x:c>
      <x:c r="B14" s="49" t="str"/>
      <x:c r="C14" s="49" t="str"/>
      <x:c r="D14" s="57" t="str">
        <x:f>IF(D6&lt;=5000,"≤5000万元，研发费比例≥5%",IF(D6&lt;=20000,"5000万—2亿元，研发费比例≥4%","&gt;2亿元，研发费比例≥3%"))</x:f>
        <x:v>≤5000万元，研发费比例≥5%</x:v>
      </x:c>
      <x:c r="E14" s="57" t="str">
        <x:f>IF(E6&lt;=5000,"≤5000万元，研发费比例≥5%",IF(E6&lt;=20000,"5000万—2亿元，研发费比例≥4%","&gt;2亿元，研发费比例≥3%"))</x:f>
        <x:v>≤5000万元，研发费比例≥5%</x:v>
      </x:c>
      <x:c r="F14" s="49" t="str"/>
      <x:c r="G14" s="50" t="str"/>
      <x:c r="H14" s="50" t="str"/>
    </x:row>
    <x:row r="15">
      <x:c r="A15" s="47"/>
      <x:c r="B15" s="47"/>
      <x:c r="C15" s="47"/>
      <x:c r="D15" s="47"/>
      <x:c r="E15" s="47"/>
      <x:c r="F15" s="47"/>
      <x:c r="G15" s="47"/>
      <x:c r="H15" s="47"/>
    </x:row>
    <x:row r="16" ht="15" hidden="0" customHeight="1">
      <x:c r="A16" s="51" t="str">
        <x:v>硬比例自动计算</x:v>
      </x:c>
      <x:c r="B16" s="51" t="str">
        <x:v>硬比例自动计算</x:v>
      </x:c>
      <x:c r="C16" s="51" t="str">
        <x:v>硬比例自动计算</x:v>
      </x:c>
      <x:c r="D16" s="51" t="str">
        <x:v>硬比例自动计算</x:v>
      </x:c>
      <x:c r="E16" s="51" t="str">
        <x:v>硬比例自动计算</x:v>
      </x:c>
      <x:c r="F16" s="51" t="str">
        <x:v>硬比例自动计算</x:v>
      </x:c>
      <x:c r="G16" s="51" t="str">
        <x:v>硬比例自动计算</x:v>
      </x:c>
      <x:c r="H16" s="51" t="str">
        <x:v>硬比例自动计算</x:v>
      </x:c>
    </x:row>
    <x:row r="17" ht="26.399999618530273" hidden="0" customHeight="1">
      <x:c r="A17" s="48" t="str">
        <x:v>指标</x:v>
      </x:c>
      <x:c r="B17" s="48" t="str">
        <x:v>当年使用值</x:v>
      </x:c>
      <x:c r="C17" s="48" t="str">
        <x:v>当年门槛</x:v>
      </x:c>
      <x:c r="D17" s="48" t="str">
        <x:v>当年判断</x:v>
      </x:c>
      <x:c r="E17" s="48" t="str">
        <x:v>下一年使用值</x:v>
      </x:c>
      <x:c r="F17" s="48" t="str">
        <x:v>下一年门槛</x:v>
      </x:c>
      <x:c r="G17" s="48" t="str">
        <x:v>下一年判断</x:v>
      </x:c>
      <x:c r="H17" s="48" t="str">
        <x:v>说明</x:v>
      </x:c>
    </x:row>
    <x:row r="18" ht="52.79999923706055" hidden="0" customHeight="1">
      <x:c r="A18" s="49" t="str">
        <x:v>近三年研发费用占销售收入比例</x:v>
      </x:c>
      <x:c r="B18" s="63" t="n">
        <x:f>IFERROR(SUM(B8:D8)/SUM(B6:D6),0)</x:f>
        <x:v>0</x:v>
      </x:c>
      <x:c r="C18" s="63" t="n">
        <x:f>IF(D6&lt;=5000,5%,IF(D6&lt;=20000,4%,3%))</x:f>
        <x:v>0.05</x:v>
      </x:c>
      <x:c r="D18" s="57" t="str">
        <x:f>IF(B18&gt;=C18,"是","否")</x:f>
        <x:v>否</x:v>
      </x:c>
      <x:c r="E18" s="63" t="n">
        <x:f>IFERROR(SUM(C8:E8)/SUM(C6:E6),0)</x:f>
        <x:v>0</x:v>
      </x:c>
      <x:c r="F18" s="63" t="n">
        <x:f>IF(E6&lt;=5000,5%,IF(E6&lt;=20000,4%,3%))</x:f>
        <x:v>0.05</x:v>
      </x:c>
      <x:c r="G18" s="57" t="str">
        <x:f>IF(E18&gt;=F18,"是","否")</x:f>
        <x:v>否</x:v>
      </x:c>
      <x:c r="H18" s="49" t="str">
        <x:v>按三年合计计算</x:v>
      </x:c>
    </x:row>
    <x:row r="19" ht="52.79999923706055" hidden="0" customHeight="1">
      <x:c r="A19" s="49" t="str">
        <x:v>境内研发费用占研发费用比例</x:v>
      </x:c>
      <x:c r="B19" s="63" t="n">
        <x:f>IFERROR(SUM(B9:D9)/SUM(B8:D8),0)</x:f>
        <x:v>0</x:v>
      </x:c>
      <x:c r="C19" s="63" t="n">
        <x:v>0.6</x:v>
      </x:c>
      <x:c r="D19" s="57" t="str">
        <x:f>IF(B19&gt;=C19,"是","否")</x:f>
        <x:v>否</x:v>
      </x:c>
      <x:c r="E19" s="63" t="n">
        <x:f>IFERROR(SUM(C9:E9)/SUM(C8:E8),0)</x:f>
        <x:v>0</x:v>
      </x:c>
      <x:c r="F19" s="63" t="n">
        <x:v>0.6</x:v>
      </x:c>
      <x:c r="G19" s="57" t="str">
        <x:f>IF(E19&gt;=F19,"是","否")</x:f>
        <x:v>否</x:v>
      </x:c>
      <x:c r="H19" s="49" t="str">
        <x:v>不低于60%</x:v>
      </x:c>
    </x:row>
    <x:row r="20" ht="52.79999923706055" hidden="0" customHeight="1">
      <x:c r="A20" s="49" t="str">
        <x:v>最近一年高品收入占总收入比例</x:v>
      </x:c>
      <x:c r="B20" s="63" t="n">
        <x:f>IFERROR(D11/D10,0)</x:f>
        <x:v>0</x:v>
      </x:c>
      <x:c r="C20" s="63" t="n">
        <x:v>0.6</x:v>
      </x:c>
      <x:c r="D20" s="57" t="str">
        <x:f>IF(B20&gt;=C20,"是","否")</x:f>
        <x:v>否</x:v>
      </x:c>
      <x:c r="E20" s="63" t="n">
        <x:f>IFERROR(E11/E10,0)</x:f>
        <x:v>0</x:v>
      </x:c>
      <x:c r="F20" s="63" t="n">
        <x:v>0.6</x:v>
      </x:c>
      <x:c r="G20" s="57" t="str">
        <x:f>IF(E20&gt;=F20,"是","否")</x:f>
        <x:v>否</x:v>
      </x:c>
      <x:c r="H20" s="49" t="str">
        <x:v>不低于60%</x:v>
      </x:c>
    </x:row>
    <x:row r="21" ht="39.599998474121094" hidden="0" customHeight="1">
      <x:c r="A21" s="49" t="str">
        <x:v>最近一年科技人员占比</x:v>
      </x:c>
      <x:c r="B21" s="63" t="n">
        <x:f>IFERROR(D13/D12,0)</x:f>
        <x:v>0</x:v>
      </x:c>
      <x:c r="C21" s="63" t="n">
        <x:v>0.1</x:v>
      </x:c>
      <x:c r="D21" s="57" t="str">
        <x:f>IF(B21&gt;=C21,"是","否")</x:f>
        <x:v>否</x:v>
      </x:c>
      <x:c r="E21" s="63" t="n">
        <x:f>IFERROR(E13/E12,0)</x:f>
        <x:v>0</x:v>
      </x:c>
      <x:c r="F21" s="63" t="n">
        <x:v>0.1</x:v>
      </x:c>
      <x:c r="G21" s="57" t="str">
        <x:f>IF(E21&gt;=F21,"是","否")</x:f>
        <x:v>否</x:v>
      </x:c>
      <x:c r="H21" s="49" t="str">
        <x:v>不低于10%</x:v>
      </x:c>
    </x:row>
    <x:row r="22">
      <x:c r="A22" s="47"/>
      <x:c r="B22" s="47"/>
      <x:c r="C22" s="47"/>
      <x:c r="D22" s="47"/>
      <x:c r="E22" s="47"/>
      <x:c r="F22" s="47"/>
      <x:c r="G22" s="47"/>
      <x:c r="H22" s="47"/>
    </x:row>
    <x:row r="23" ht="15" hidden="0" customHeight="1">
      <x:c r="A23" s="51" t="str">
        <x:v>成长性自动计算</x:v>
      </x:c>
      <x:c r="B23" s="51" t="str">
        <x:v>成长性自动计算</x:v>
      </x:c>
      <x:c r="C23" s="51" t="str">
        <x:v>成长性自动计算</x:v>
      </x:c>
      <x:c r="D23" s="51" t="str">
        <x:v>成长性自动计算</x:v>
      </x:c>
      <x:c r="E23" s="51" t="str">
        <x:v>成长性自动计算</x:v>
      </x:c>
      <x:c r="F23" s="51" t="str">
        <x:v>成长性自动计算</x:v>
      </x:c>
      <x:c r="G23" s="51" t="str">
        <x:v>成长性自动计算</x:v>
      </x:c>
      <x:c r="H23" s="51" t="str">
        <x:v>成长性自动计算</x:v>
      </x:c>
    </x:row>
    <x:row r="24" ht="26.399999618530273" hidden="0" customHeight="1">
      <x:c r="A24" s="48" t="str">
        <x:v>指标</x:v>
      </x:c>
      <x:c r="B24" s="48" t="str">
        <x:v>当年增长率</x:v>
      </x:c>
      <x:c r="C24" s="48" t="str">
        <x:v>当年复核</x:v>
      </x:c>
      <x:c r="D24" s="48" t="str">
        <x:v>当年保守分</x:v>
      </x:c>
      <x:c r="E24" s="48" t="str">
        <x:v>下一年增长率</x:v>
      </x:c>
      <x:c r="F24" s="48" t="str">
        <x:v>下一年复核</x:v>
      </x:c>
      <x:c r="G24" s="48" t="str">
        <x:v>下一年保守分</x:v>
      </x:c>
      <x:c r="H24" s="48" t="str">
        <x:v>官方分数区间</x:v>
      </x:c>
    </x:row>
    <x:row r="25" ht="26.399999618530273" hidden="0" customHeight="1">
      <x:c r="A25" s="49" t="str">
        <x:v>销售收入增长率</x:v>
      </x:c>
      <x:c r="B25" s="63" t="n">
        <x:f>IF(OR(B6&lt;0,C6&lt;0),0,IF(C6=0,0,IF(B6=0,D6/C6-1,0.5*(C6/B6+D6/C6)-1)))</x:f>
        <x:v>0</x:v>
      </x:c>
      <x:c r="C25" s="57" t="str">
        <x:f>IF(OR(B6&lt;0,C6&lt;0),"专项复核",IF(C6=0,"第二年为0",IF(B6=0,"按后两年计算","正常")))</x:f>
        <x:v>第二年为0</x:v>
      </x:c>
      <x:c r="D25" s="57" t="n">
        <x:f>IF(B25&lt;=0,0,IF(B25&gt;=35%,9,IF(B25&gt;=25%,7,IF(B25&gt;=15%,5,IF(B25&gt;=5%,3,1)))))</x:f>
        <x:v>0</x:v>
      </x:c>
      <x:c r="E25" s="63" t="n">
        <x:f>IF(OR(C6&lt;0,D6&lt;0),0,IF(D6=0,0,IF(C6=0,E6/D6-1,0.5*(D6/C6+E6/D6)-1)))</x:f>
        <x:v>0</x:v>
      </x:c>
      <x:c r="F25" s="57" t="str">
        <x:f>IF(OR(C6&lt;0,D6&lt;0),"专项复核",IF(D6=0,"第二年为0",IF(C6=0,"按后两年计算","正常")))</x:f>
        <x:v>第二年为0</x:v>
      </x:c>
      <x:c r="G25" s="57" t="n">
        <x:f>IF(E25&lt;=0,0,IF(E25&gt;=35%,9,IF(E25&gt;=25%,7,IF(E25&gt;=15%,5,IF(E25&gt;=5%,3,1)))))</x:f>
        <x:v>0</x:v>
      </x:c>
      <x:c r="H25" s="49" t="str">
        <x:v>每项最高10分</x:v>
      </x:c>
    </x:row>
    <x:row r="26" ht="26.399999618530273" hidden="0" customHeight="1">
      <x:c r="A26" s="49" t="str">
        <x:v>净资产增长率</x:v>
      </x:c>
      <x:c r="B26" s="63" t="n">
        <x:f>IF(OR(B7&lt;0,C7&lt;0),0,IF(C7=0,0,IF(B7=0,D7/C7-1,0.5*(C7/B7+D7/C7)-1)))</x:f>
        <x:v>0</x:v>
      </x:c>
      <x:c r="C26" s="57" t="str">
        <x:f>IF(OR(B7&lt;0,C7&lt;0),"专项复核",IF(C7=0,"第二年为0",IF(B7=0,"按后两年计算","正常")))</x:f>
        <x:v>第二年为0</x:v>
      </x:c>
      <x:c r="D26" s="57" t="n">
        <x:f>IF(B26&lt;=0,0,IF(B26&gt;=35%,9,IF(B26&gt;=25%,7,IF(B26&gt;=15%,5,IF(B26&gt;=5%,3,1)))))</x:f>
        <x:v>0</x:v>
      </x:c>
      <x:c r="E26" s="63" t="n">
        <x:f>IF(OR(C7&lt;0,D7&lt;0),0,IF(D7=0,0,IF(C7=0,E7/D7-1,0.5*(D7/C7+E7/D7)-1)))</x:f>
        <x:v>0</x:v>
      </x:c>
      <x:c r="F26" s="57" t="str">
        <x:f>IF(OR(C7&lt;0,D7&lt;0),"专项复核",IF(D7=0,"第二年为0",IF(C7=0,"按后两年计算","正常")))</x:f>
        <x:v>第二年为0</x:v>
      </x:c>
      <x:c r="G26" s="57" t="n">
        <x:f>IF(E26&lt;=0,0,IF(E26&gt;=35%,9,IF(E26&gt;=25%,7,IF(E26&gt;=15%,5,IF(E26&gt;=5%,3,1)))))</x:f>
        <x:v>0</x:v>
      </x:c>
      <x:c r="H26" s="49" t="str">
        <x:v>每项最高10分</x:v>
      </x:c>
    </x:row>
  </x:sheetData>
  <x:mergeCells>
    <x:mergeCell ref="A1:H1"/>
    <x:mergeCell ref="A2:H2"/>
    <x:mergeCell ref="A16:H16"/>
    <x:mergeCell ref="A23:H2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" hidden="0" customWidth="1"/>
    <x:col min="3" max="3" width="14" hidden="0" customWidth="1"/>
    <x:col min="4" max="4" width="28" hidden="0" customWidth="1"/>
    <x:col min="5" max="5" width="18" hidden="0" customWidth="1"/>
    <x:col min="6" max="6" width="18" hidden="0" customWidth="1"/>
    <x:col min="7" max="7" width="13" hidden="0" customWidth="1"/>
    <x:col min="8" max="8" width="12" hidden="0" customWidth="1"/>
    <x:col min="9" max="9" width="12" hidden="0" customWidth="1"/>
    <x:col min="10" max="10" width="12" hidden="0" customWidth="1"/>
    <x:col min="11" max="11" width="17" hidden="0" customWidth="1"/>
    <x:col min="12" max="12" width="19" hidden="0" customWidth="1"/>
    <x:col min="13" max="13" width="12" hidden="0" customWidth="1"/>
    <x:col min="14" max="14" width="28" hidden="0" customWidth="1"/>
    <x:col min="15" max="15" width="20" hidden="0" customWidth="1"/>
    <x:col min="16" max="16" width="16" hidden="0" customWidth="1"/>
    <x:col min="17" max="17" width="16" hidden="0" customWidth="1"/>
    <x:col min="18" max="18" width="24" hidden="0" customWidth="1"/>
    <x:col min="19" max="19" width="28" hidden="0" customWidth="1"/>
  </x:cols>
  <x:sheetData>
    <x:row r="1" ht="34" customHeight="1">
      <x:c r="A1" s="46" t="str">
        <x:v>知识产权逐件采集</x:v>
      </x:c>
      <x:c r="B1" s="46" t="str">
        <x:v>知识产权逐件采集</x:v>
      </x:c>
      <x:c r="C1" s="46" t="str">
        <x:v>知识产权逐件采集</x:v>
      </x:c>
      <x:c r="D1" s="46" t="str">
        <x:v>知识产权逐件采集</x:v>
      </x:c>
      <x:c r="E1" s="46" t="str">
        <x:v>知识产权逐件采集</x:v>
      </x:c>
      <x:c r="F1" s="46" t="str">
        <x:v>知识产权逐件采集</x:v>
      </x:c>
      <x:c r="G1" s="46" t="str">
        <x:v>知识产权逐件采集</x:v>
      </x:c>
      <x:c r="H1" s="46" t="str">
        <x:v>知识产权逐件采集</x:v>
      </x:c>
      <x:c r="I1" s="46" t="str">
        <x:v>知识产权逐件采集</x:v>
      </x:c>
      <x:c r="J1" s="46" t="str">
        <x:v>知识产权逐件采集</x:v>
      </x:c>
      <x:c r="K1" s="46" t="str">
        <x:v>知识产权逐件采集</x:v>
      </x:c>
      <x:c r="L1" s="46" t="str">
        <x:v>知识产权逐件采集</x:v>
      </x:c>
      <x:c r="M1" s="46" t="str">
        <x:v>知识产权逐件采集</x:v>
      </x:c>
      <x:c r="N1" s="46" t="str">
        <x:v>知识产权逐件采集</x:v>
      </x:c>
      <x:c r="O1" s="46" t="str">
        <x:v>知识产权逐件采集</x:v>
      </x:c>
      <x:c r="P1" s="46" t="str">
        <x:v>知识产权逐件采集</x:v>
      </x:c>
      <x:c r="Q1" s="46" t="str">
        <x:v>知识产权逐件采集</x:v>
      </x:c>
      <x:c r="R1" s="46" t="str">
        <x:v>知识产权逐件采集</x:v>
      </x:c>
      <x:c r="S1" s="46" t="str">
        <x:v>知识产权逐件采集</x:v>
      </x:c>
    </x:row>
    <x:row r="2" ht="28" customHeight="1">
      <x:c r="A2" s="40" t="str">
        <x:v>关键规则：曾申报未通过不消耗Ⅱ类使用次数；Ⅱ类只有曾在通过认定中使用，才判为本次不可重复使用。</x:v>
      </x:c>
      <x:c r="B2" s="40" t="str">
        <x:v>关键规则：曾申报未通过不消耗Ⅱ类使用次数；Ⅱ类只有曾在通过认定中使用，才判为本次不可重复使用。</x:v>
      </x:c>
      <x:c r="C2" s="40" t="str">
        <x:v>关键规则：曾申报未通过不消耗Ⅱ类使用次数；Ⅱ类只有曾在通过认定中使用，才判为本次不可重复使用。</x:v>
      </x:c>
      <x:c r="D2" s="40" t="str">
        <x:v>关键规则：曾申报未通过不消耗Ⅱ类使用次数；Ⅱ类只有曾在通过认定中使用，才判为本次不可重复使用。</x:v>
      </x:c>
      <x:c r="E2" s="40" t="str">
        <x:v>关键规则：曾申报未通过不消耗Ⅱ类使用次数；Ⅱ类只有曾在通过认定中使用，才判为本次不可重复使用。</x:v>
      </x:c>
      <x:c r="F2" s="40" t="str">
        <x:v>关键规则：曾申报未通过不消耗Ⅱ类使用次数；Ⅱ类只有曾在通过认定中使用，才判为本次不可重复使用。</x:v>
      </x:c>
      <x:c r="G2" s="40" t="str">
        <x:v>关键规则：曾申报未通过不消耗Ⅱ类使用次数；Ⅱ类只有曾在通过认定中使用，才判为本次不可重复使用。</x:v>
      </x:c>
      <x:c r="H2" s="40" t="str">
        <x:v>关键规则：曾申报未通过不消耗Ⅱ类使用次数；Ⅱ类只有曾在通过认定中使用，才判为本次不可重复使用。</x:v>
      </x:c>
      <x:c r="I2" s="40" t="str">
        <x:v>关键规则：曾申报未通过不消耗Ⅱ类使用次数；Ⅱ类只有曾在通过认定中使用，才判为本次不可重复使用。</x:v>
      </x:c>
      <x:c r="J2" s="40" t="str">
        <x:v>关键规则：曾申报未通过不消耗Ⅱ类使用次数；Ⅱ类只有曾在通过认定中使用，才判为本次不可重复使用。</x:v>
      </x:c>
      <x:c r="K2" s="40" t="str">
        <x:v>关键规则：曾申报未通过不消耗Ⅱ类使用次数；Ⅱ类只有曾在通过认定中使用，才判为本次不可重复使用。</x:v>
      </x:c>
      <x:c r="L2" s="40" t="str">
        <x:v>关键规则：曾申报未通过不消耗Ⅱ类使用次数；Ⅱ类只有曾在通过认定中使用，才判为本次不可重复使用。</x:v>
      </x:c>
      <x:c r="M2" s="40" t="str">
        <x:v>关键规则：曾申报未通过不消耗Ⅱ类使用次数；Ⅱ类只有曾在通过认定中使用，才判为本次不可重复使用。</x:v>
      </x:c>
      <x:c r="N2" s="40" t="str">
        <x:v>关键规则：曾申报未通过不消耗Ⅱ类使用次数；Ⅱ类只有曾在通过认定中使用，才判为本次不可重复使用。</x:v>
      </x:c>
      <x:c r="O2" s="40" t="str">
        <x:v>关键规则：曾申报未通过不消耗Ⅱ类使用次数；Ⅱ类只有曾在通过认定中使用，才判为本次不可重复使用。</x:v>
      </x:c>
      <x:c r="P2" s="40" t="str">
        <x:v>关键规则：曾申报未通过不消耗Ⅱ类使用次数；Ⅱ类只有曾在通过认定中使用，才判为本次不可重复使用。</x:v>
      </x:c>
      <x:c r="Q2" s="40" t="str">
        <x:v>关键规则：曾申报未通过不消耗Ⅱ类使用次数；Ⅱ类只有曾在通过认定中使用，才判为本次不可重复使用。</x:v>
      </x:c>
      <x:c r="R2" s="40" t="str">
        <x:v>关键规则：曾申报未通过不消耗Ⅱ类使用次数；Ⅱ类只有曾在通过认定中使用，才判为本次不可重复使用。</x:v>
      </x:c>
      <x:c r="S2" s="40" t="str">
        <x:v>关键规则：曾申报未通过不消耗Ⅱ类使用次数；Ⅱ类只有曾在通过认定中使用，才判为本次不可重复使用。</x:v>
      </x:c>
    </x:row>
    <x:row r="3">
      <x:c r="A3" s="47"/>
      <x:c r="B3" s="47"/>
      <x:c r="C3" s="47"/>
      <x:c r="D3" s="47"/>
      <x:c r="E3" s="47"/>
      <x:c r="F3" s="47"/>
      <x:c r="G3" s="47"/>
      <x:c r="H3" s="47"/>
      <x:c r="I3" s="47"/>
      <x:c r="J3" s="47"/>
      <x:c r="K3" s="47"/>
      <x:c r="L3" s="47"/>
      <x:c r="M3" s="47"/>
      <x:c r="N3" s="47"/>
      <x:c r="O3" s="47"/>
      <x:c r="P3" s="47"/>
      <x:c r="Q3" s="47"/>
      <x:c r="R3" s="47"/>
      <x:c r="S3" s="47"/>
    </x:row>
    <x:row r="4">
      <x:c r="A4" s="48" t="str">
        <x:v>IP编号</x:v>
      </x:c>
      <x:c r="B4" s="48" t="str">
        <x:v>类别</x:v>
      </x:c>
      <x:c r="C4" s="48" t="str">
        <x:v>类型</x:v>
      </x:c>
      <x:c r="D4" s="48" t="str">
        <x:v>名称</x:v>
      </x:c>
      <x:c r="E4" s="48" t="str">
        <x:v>申请号</x:v>
      </x:c>
      <x:c r="F4" s="48" t="str">
        <x:v>授权号</x:v>
      </x:c>
      <x:c r="G4" s="48" t="str">
        <x:v>授权日</x:v>
      </x:c>
      <x:c r="H4" s="48" t="str">
        <x:v>法律状态</x:v>
      </x:c>
      <x:c r="I4" s="48" t="str">
        <x:v>权属符合</x:v>
      </x:c>
      <x:c r="J4" s="48" t="str">
        <x:v>获得方式</x:v>
      </x:c>
      <x:c r="K4" s="48" t="str">
        <x:v>曾申报未通过使用</x:v>
      </x:c>
      <x:c r="L4" s="48" t="str">
        <x:v>曾在通过认定中使用</x:v>
      </x:c>
      <x:c r="M4" s="48" t="str">
        <x:v>对应RD</x:v>
      </x:c>
      <x:c r="N4" s="48" t="str">
        <x:v>核心技术</x:v>
      </x:c>
      <x:c r="O4" s="48" t="str">
        <x:v>对应高品</x:v>
      </x:c>
      <x:c r="P4" s="48" t="str">
        <x:v>核心支持强度</x:v>
      </x:c>
      <x:c r="Q4" s="48" t="str">
        <x:v>证据完整度</x:v>
      </x:c>
      <x:c r="R4" s="48" t="str">
        <x:v>本次可用性</x:v>
      </x:c>
      <x:c r="S4" s="48" t="str">
        <x:v>备注</x:v>
      </x:c>
    </x:row>
    <x:row r="5">
      <x:c r="A5" s="49" t="str">
        <x:v>IP01</x:v>
      </x:c>
      <x:c r="B5" s="50" t="str"/>
      <x:c r="C5" s="50" t="str"/>
      <x:c r="D5" s="50" t="str"/>
      <x:c r="E5" s="50" t="str"/>
      <x:c r="F5" s="50" t="str"/>
      <x:c r="G5" s="55"/>
      <x:c r="H5" s="50" t="str"/>
      <x:c r="I5" s="50" t="str"/>
      <x:c r="J5" s="50" t="str"/>
      <x:c r="K5" s="50" t="str">
        <x:v>否</x:v>
      </x:c>
      <x:c r="L5" s="50" t="str">
        <x:v>否</x:v>
      </x:c>
      <x:c r="M5" s="50" t="str"/>
      <x:c r="N5" s="50" t="str"/>
      <x:c r="O5" s="50" t="str"/>
      <x:c r="P5" s="50" t="str"/>
      <x:c r="Q5" s="50" t="str"/>
      <x:c r="R5" s="57" t="str">
        <x:f>IF(D5="","",IF(H5&lt;&gt;"有效","不可用：未有效",IF(I5&lt;&gt;"是","不可用：权属",IF(AND(B5="Ⅱ类",L5="是"),"不可用：已用于通过认定","可用"))))</x:f>
      </x:c>
      <x:c r="S5" s="50" t="str"/>
    </x:row>
    <x:row r="6">
      <x:c r="A6" s="49" t="str">
        <x:v>IP02</x:v>
      </x:c>
      <x:c r="B6" s="50" t="str"/>
      <x:c r="C6" s="50" t="str"/>
      <x:c r="D6" s="50" t="str"/>
      <x:c r="E6" s="50" t="str"/>
      <x:c r="F6" s="50" t="str"/>
      <x:c r="G6" s="55"/>
      <x:c r="H6" s="50" t="str"/>
      <x:c r="I6" s="50" t="str"/>
      <x:c r="J6" s="50" t="str"/>
      <x:c r="K6" s="50" t="str">
        <x:v>否</x:v>
      </x:c>
      <x:c r="L6" s="50" t="str">
        <x:v>否</x:v>
      </x:c>
      <x:c r="M6" s="50" t="str"/>
      <x:c r="N6" s="50" t="str"/>
      <x:c r="O6" s="50" t="str"/>
      <x:c r="P6" s="50" t="str"/>
      <x:c r="Q6" s="50" t="str"/>
      <x:c r="R6" s="57" t="str">
        <x:f>IF(D6="","",IF(H6&lt;&gt;"有效","不可用：未有效",IF(I6&lt;&gt;"是","不可用：权属",IF(AND(B6="Ⅱ类",L6="是"),"不可用：已用于通过认定","可用"))))</x:f>
      </x:c>
      <x:c r="S6" s="50" t="str"/>
    </x:row>
    <x:row r="7">
      <x:c r="A7" s="49" t="str">
        <x:v>IP03</x:v>
      </x:c>
      <x:c r="B7" s="50" t="str"/>
      <x:c r="C7" s="50" t="str"/>
      <x:c r="D7" s="50" t="str"/>
      <x:c r="E7" s="50" t="str"/>
      <x:c r="F7" s="50" t="str"/>
      <x:c r="G7" s="55"/>
      <x:c r="H7" s="50" t="str"/>
      <x:c r="I7" s="50" t="str"/>
      <x:c r="J7" s="50" t="str"/>
      <x:c r="K7" s="50" t="str">
        <x:v>否</x:v>
      </x:c>
      <x:c r="L7" s="50" t="str">
        <x:v>否</x:v>
      </x:c>
      <x:c r="M7" s="50" t="str"/>
      <x:c r="N7" s="50" t="str"/>
      <x:c r="O7" s="50" t="str"/>
      <x:c r="P7" s="50" t="str"/>
      <x:c r="Q7" s="50" t="str"/>
      <x:c r="R7" s="57" t="str">
        <x:f>IF(D7="","",IF(H7&lt;&gt;"有效","不可用：未有效",IF(I7&lt;&gt;"是","不可用：权属",IF(AND(B7="Ⅱ类",L7="是"),"不可用：已用于通过认定","可用"))))</x:f>
      </x:c>
      <x:c r="S7" s="50" t="str"/>
    </x:row>
    <x:row r="8">
      <x:c r="A8" s="49" t="str">
        <x:v>IP04</x:v>
      </x:c>
      <x:c r="B8" s="50" t="str"/>
      <x:c r="C8" s="50" t="str"/>
      <x:c r="D8" s="50" t="str"/>
      <x:c r="E8" s="50" t="str"/>
      <x:c r="F8" s="50" t="str"/>
      <x:c r="G8" s="55"/>
      <x:c r="H8" s="50" t="str"/>
      <x:c r="I8" s="50" t="str"/>
      <x:c r="J8" s="50" t="str"/>
      <x:c r="K8" s="50" t="str">
        <x:v>否</x:v>
      </x:c>
      <x:c r="L8" s="50" t="str">
        <x:v>否</x:v>
      </x:c>
      <x:c r="M8" s="50" t="str"/>
      <x:c r="N8" s="50" t="str"/>
      <x:c r="O8" s="50" t="str"/>
      <x:c r="P8" s="50" t="str"/>
      <x:c r="Q8" s="50" t="str"/>
      <x:c r="R8" s="57" t="str">
        <x:f>IF(D8="","",IF(H8&lt;&gt;"有效","不可用：未有效",IF(I8&lt;&gt;"是","不可用：权属",IF(AND(B8="Ⅱ类",L8="是"),"不可用：已用于通过认定","可用"))))</x:f>
      </x:c>
      <x:c r="S8" s="50" t="str"/>
    </x:row>
    <x:row r="9">
      <x:c r="A9" s="49" t="str">
        <x:v>IP05</x:v>
      </x:c>
      <x:c r="B9" s="50" t="str"/>
      <x:c r="C9" s="50" t="str"/>
      <x:c r="D9" s="50" t="str"/>
      <x:c r="E9" s="50" t="str"/>
      <x:c r="F9" s="50" t="str"/>
      <x:c r="G9" s="55"/>
      <x:c r="H9" s="50" t="str"/>
      <x:c r="I9" s="50" t="str"/>
      <x:c r="J9" s="50" t="str"/>
      <x:c r="K9" s="50" t="str">
        <x:v>否</x:v>
      </x:c>
      <x:c r="L9" s="50" t="str">
        <x:v>否</x:v>
      </x:c>
      <x:c r="M9" s="50" t="str"/>
      <x:c r="N9" s="50" t="str"/>
      <x:c r="O9" s="50" t="str"/>
      <x:c r="P9" s="50" t="str"/>
      <x:c r="Q9" s="50" t="str"/>
      <x:c r="R9" s="57" t="str">
        <x:f>IF(D9="","",IF(H9&lt;&gt;"有效","不可用：未有效",IF(I9&lt;&gt;"是","不可用：权属",IF(AND(B9="Ⅱ类",L9="是"),"不可用：已用于通过认定","可用"))))</x:f>
      </x:c>
      <x:c r="S9" s="50" t="str"/>
    </x:row>
    <x:row r="10">
      <x:c r="A10" s="49" t="str">
        <x:v>IP06</x:v>
      </x:c>
      <x:c r="B10" s="50" t="str"/>
      <x:c r="C10" s="50" t="str"/>
      <x:c r="D10" s="50" t="str"/>
      <x:c r="E10" s="50" t="str"/>
      <x:c r="F10" s="50" t="str"/>
      <x:c r="G10" s="55"/>
      <x:c r="H10" s="50" t="str"/>
      <x:c r="I10" s="50" t="str"/>
      <x:c r="J10" s="50" t="str"/>
      <x:c r="K10" s="50" t="str">
        <x:v>否</x:v>
      </x:c>
      <x:c r="L10" s="50" t="str">
        <x:v>否</x:v>
      </x:c>
      <x:c r="M10" s="50" t="str"/>
      <x:c r="N10" s="50" t="str"/>
      <x:c r="O10" s="50" t="str"/>
      <x:c r="P10" s="50" t="str"/>
      <x:c r="Q10" s="50" t="str"/>
      <x:c r="R10" s="57" t="str">
        <x:f>IF(D10="","",IF(H10&lt;&gt;"有效","不可用：未有效",IF(I10&lt;&gt;"是","不可用：权属",IF(AND(B10="Ⅱ类",L10="是"),"不可用：已用于通过认定","可用"))))</x:f>
      </x:c>
      <x:c r="S10" s="50" t="str"/>
    </x:row>
    <x:row r="11">
      <x:c r="A11" s="49" t="str">
        <x:v>IP07</x:v>
      </x:c>
      <x:c r="B11" s="50" t="str"/>
      <x:c r="C11" s="50" t="str"/>
      <x:c r="D11" s="50" t="str"/>
      <x:c r="E11" s="50" t="str"/>
      <x:c r="F11" s="50" t="str"/>
      <x:c r="G11" s="55"/>
      <x:c r="H11" s="50" t="str"/>
      <x:c r="I11" s="50" t="str"/>
      <x:c r="J11" s="50" t="str"/>
      <x:c r="K11" s="50" t="str">
        <x:v>否</x:v>
      </x:c>
      <x:c r="L11" s="50" t="str">
        <x:v>否</x:v>
      </x:c>
      <x:c r="M11" s="50" t="str"/>
      <x:c r="N11" s="50" t="str"/>
      <x:c r="O11" s="50" t="str"/>
      <x:c r="P11" s="50" t="str"/>
      <x:c r="Q11" s="50" t="str"/>
      <x:c r="R11" s="57" t="str">
        <x:f>IF(D11="","",IF(H11&lt;&gt;"有效","不可用：未有效",IF(I11&lt;&gt;"是","不可用：权属",IF(AND(B11="Ⅱ类",L11="是"),"不可用：已用于通过认定","可用"))))</x:f>
      </x:c>
      <x:c r="S11" s="50" t="str"/>
    </x:row>
    <x:row r="12">
      <x:c r="A12" s="49" t="str">
        <x:v>IP08</x:v>
      </x:c>
      <x:c r="B12" s="50" t="str"/>
      <x:c r="C12" s="50" t="str"/>
      <x:c r="D12" s="50" t="str"/>
      <x:c r="E12" s="50" t="str"/>
      <x:c r="F12" s="50" t="str"/>
      <x:c r="G12" s="55"/>
      <x:c r="H12" s="50" t="str"/>
      <x:c r="I12" s="50" t="str"/>
      <x:c r="J12" s="50" t="str"/>
      <x:c r="K12" s="50" t="str">
        <x:v>否</x:v>
      </x:c>
      <x:c r="L12" s="50" t="str">
        <x:v>否</x:v>
      </x:c>
      <x:c r="M12" s="50" t="str"/>
      <x:c r="N12" s="50" t="str"/>
      <x:c r="O12" s="50" t="str"/>
      <x:c r="P12" s="50" t="str"/>
      <x:c r="Q12" s="50" t="str"/>
      <x:c r="R12" s="57" t="str">
        <x:f>IF(D12="","",IF(H12&lt;&gt;"有效","不可用：未有效",IF(I12&lt;&gt;"是","不可用：权属",IF(AND(B12="Ⅱ类",L12="是"),"不可用：已用于通过认定","可用"))))</x:f>
      </x:c>
      <x:c r="S12" s="50" t="str"/>
    </x:row>
    <x:row r="13">
      <x:c r="A13" s="49" t="str">
        <x:v>IP09</x:v>
      </x:c>
      <x:c r="B13" s="50" t="str"/>
      <x:c r="C13" s="50" t="str"/>
      <x:c r="D13" s="50" t="str"/>
      <x:c r="E13" s="50" t="str"/>
      <x:c r="F13" s="50" t="str"/>
      <x:c r="G13" s="55"/>
      <x:c r="H13" s="50" t="str"/>
      <x:c r="I13" s="50" t="str"/>
      <x:c r="J13" s="50" t="str"/>
      <x:c r="K13" s="50" t="str">
        <x:v>否</x:v>
      </x:c>
      <x:c r="L13" s="50" t="str">
        <x:v>否</x:v>
      </x:c>
      <x:c r="M13" s="50" t="str"/>
      <x:c r="N13" s="50" t="str"/>
      <x:c r="O13" s="50" t="str"/>
      <x:c r="P13" s="50" t="str"/>
      <x:c r="Q13" s="50" t="str"/>
      <x:c r="R13" s="57" t="str">
        <x:f>IF(D13="","",IF(H13&lt;&gt;"有效","不可用：未有效",IF(I13&lt;&gt;"是","不可用：权属",IF(AND(B13="Ⅱ类",L13="是"),"不可用：已用于通过认定","可用"))))</x:f>
      </x:c>
      <x:c r="S13" s="50" t="str"/>
    </x:row>
    <x:row r="14">
      <x:c r="A14" s="49" t="str">
        <x:v>IP10</x:v>
      </x:c>
      <x:c r="B14" s="50" t="str"/>
      <x:c r="C14" s="50" t="str"/>
      <x:c r="D14" s="50" t="str"/>
      <x:c r="E14" s="50" t="str"/>
      <x:c r="F14" s="50" t="str"/>
      <x:c r="G14" s="55"/>
      <x:c r="H14" s="50" t="str"/>
      <x:c r="I14" s="50" t="str"/>
      <x:c r="J14" s="50" t="str"/>
      <x:c r="K14" s="50" t="str">
        <x:v>否</x:v>
      </x:c>
      <x:c r="L14" s="50" t="str">
        <x:v>否</x:v>
      </x:c>
      <x:c r="M14" s="50" t="str"/>
      <x:c r="N14" s="50" t="str"/>
      <x:c r="O14" s="50" t="str"/>
      <x:c r="P14" s="50" t="str"/>
      <x:c r="Q14" s="50" t="str"/>
      <x:c r="R14" s="57" t="str">
        <x:f>IF(D14="","",IF(H14&lt;&gt;"有效","不可用：未有效",IF(I14&lt;&gt;"是","不可用：权属",IF(AND(B14="Ⅱ类",L14="是"),"不可用：已用于通过认定","可用"))))</x:f>
      </x:c>
      <x:c r="S14" s="50" t="str"/>
    </x:row>
    <x:row r="15">
      <x:c r="A15" s="49" t="str">
        <x:v>IP11</x:v>
      </x:c>
      <x:c r="B15" s="50" t="str"/>
      <x:c r="C15" s="50" t="str"/>
      <x:c r="D15" s="50" t="str"/>
      <x:c r="E15" s="50" t="str"/>
      <x:c r="F15" s="50" t="str"/>
      <x:c r="G15" s="55"/>
      <x:c r="H15" s="50" t="str"/>
      <x:c r="I15" s="50" t="str"/>
      <x:c r="J15" s="50" t="str"/>
      <x:c r="K15" s="50" t="str">
        <x:v>否</x:v>
      </x:c>
      <x:c r="L15" s="50" t="str">
        <x:v>否</x:v>
      </x:c>
      <x:c r="M15" s="50" t="str"/>
      <x:c r="N15" s="50" t="str"/>
      <x:c r="O15" s="50" t="str"/>
      <x:c r="P15" s="50" t="str"/>
      <x:c r="Q15" s="50" t="str"/>
      <x:c r="R15" s="57" t="str">
        <x:f>IF(D15="","",IF(H15&lt;&gt;"有效","不可用：未有效",IF(I15&lt;&gt;"是","不可用：权属",IF(AND(B15="Ⅱ类",L15="是"),"不可用：已用于通过认定","可用"))))</x:f>
      </x:c>
      <x:c r="S15" s="50" t="str"/>
    </x:row>
    <x:row r="16">
      <x:c r="A16" s="49" t="str">
        <x:v>IP12</x:v>
      </x:c>
      <x:c r="B16" s="50" t="str"/>
      <x:c r="C16" s="50" t="str"/>
      <x:c r="D16" s="50" t="str"/>
      <x:c r="E16" s="50" t="str"/>
      <x:c r="F16" s="50" t="str"/>
      <x:c r="G16" s="55"/>
      <x:c r="H16" s="50" t="str"/>
      <x:c r="I16" s="50" t="str"/>
      <x:c r="J16" s="50" t="str"/>
      <x:c r="K16" s="50" t="str">
        <x:v>否</x:v>
      </x:c>
      <x:c r="L16" s="50" t="str">
        <x:v>否</x:v>
      </x:c>
      <x:c r="M16" s="50" t="str"/>
      <x:c r="N16" s="50" t="str"/>
      <x:c r="O16" s="50" t="str"/>
      <x:c r="P16" s="50" t="str"/>
      <x:c r="Q16" s="50" t="str"/>
      <x:c r="R16" s="57" t="str">
        <x:f>IF(D16="","",IF(H16&lt;&gt;"有效","不可用：未有效",IF(I16&lt;&gt;"是","不可用：权属",IF(AND(B16="Ⅱ类",L16="是"),"不可用：已用于通过认定","可用"))))</x:f>
      </x:c>
      <x:c r="S16" s="50" t="str"/>
    </x:row>
    <x:row r="17">
      <x:c r="A17" s="49" t="str">
        <x:v>IP13</x:v>
      </x:c>
      <x:c r="B17" s="50" t="str"/>
      <x:c r="C17" s="50" t="str"/>
      <x:c r="D17" s="50" t="str"/>
      <x:c r="E17" s="50" t="str"/>
      <x:c r="F17" s="50" t="str"/>
      <x:c r="G17" s="55"/>
      <x:c r="H17" s="50" t="str"/>
      <x:c r="I17" s="50" t="str"/>
      <x:c r="J17" s="50" t="str"/>
      <x:c r="K17" s="50" t="str">
        <x:v>否</x:v>
      </x:c>
      <x:c r="L17" s="50" t="str">
        <x:v>否</x:v>
      </x:c>
      <x:c r="M17" s="50" t="str"/>
      <x:c r="N17" s="50" t="str"/>
      <x:c r="O17" s="50" t="str"/>
      <x:c r="P17" s="50" t="str"/>
      <x:c r="Q17" s="50" t="str"/>
      <x:c r="R17" s="57" t="str">
        <x:f>IF(D17="","",IF(H17&lt;&gt;"有效","不可用：未有效",IF(I17&lt;&gt;"是","不可用：权属",IF(AND(B17="Ⅱ类",L17="是"),"不可用：已用于通过认定","可用"))))</x:f>
      </x:c>
      <x:c r="S17" s="50" t="str"/>
    </x:row>
    <x:row r="18">
      <x:c r="A18" s="49" t="str">
        <x:v>IP14</x:v>
      </x:c>
      <x:c r="B18" s="50" t="str"/>
      <x:c r="C18" s="50" t="str"/>
      <x:c r="D18" s="50" t="str"/>
      <x:c r="E18" s="50" t="str"/>
      <x:c r="F18" s="50" t="str"/>
      <x:c r="G18" s="55"/>
      <x:c r="H18" s="50" t="str"/>
      <x:c r="I18" s="50" t="str"/>
      <x:c r="J18" s="50" t="str"/>
      <x:c r="K18" s="50" t="str">
        <x:v>否</x:v>
      </x:c>
      <x:c r="L18" s="50" t="str">
        <x:v>否</x:v>
      </x:c>
      <x:c r="M18" s="50" t="str"/>
      <x:c r="N18" s="50" t="str"/>
      <x:c r="O18" s="50" t="str"/>
      <x:c r="P18" s="50" t="str"/>
      <x:c r="Q18" s="50" t="str"/>
      <x:c r="R18" s="57" t="str">
        <x:f>IF(D18="","",IF(H18&lt;&gt;"有效","不可用：未有效",IF(I18&lt;&gt;"是","不可用：权属",IF(AND(B18="Ⅱ类",L18="是"),"不可用：已用于通过认定","可用"))))</x:f>
      </x:c>
      <x:c r="S18" s="50" t="str"/>
    </x:row>
    <x:row r="19">
      <x:c r="A19" s="49" t="str">
        <x:v>IP15</x:v>
      </x:c>
      <x:c r="B19" s="50" t="str"/>
      <x:c r="C19" s="50" t="str"/>
      <x:c r="D19" s="50" t="str"/>
      <x:c r="E19" s="50" t="str"/>
      <x:c r="F19" s="50" t="str"/>
      <x:c r="G19" s="55"/>
      <x:c r="H19" s="50" t="str"/>
      <x:c r="I19" s="50" t="str"/>
      <x:c r="J19" s="50" t="str"/>
      <x:c r="K19" s="50" t="str">
        <x:v>否</x:v>
      </x:c>
      <x:c r="L19" s="50" t="str">
        <x:v>否</x:v>
      </x:c>
      <x:c r="M19" s="50" t="str"/>
      <x:c r="N19" s="50" t="str"/>
      <x:c r="O19" s="50" t="str"/>
      <x:c r="P19" s="50" t="str"/>
      <x:c r="Q19" s="50" t="str"/>
      <x:c r="R19" s="57" t="str">
        <x:f>IF(D19="","",IF(H19&lt;&gt;"有效","不可用：未有效",IF(I19&lt;&gt;"是","不可用：权属",IF(AND(B19="Ⅱ类",L19="是"),"不可用：已用于通过认定","可用"))))</x:f>
      </x:c>
      <x:c r="S19" s="50" t="str"/>
    </x:row>
    <x:row r="20">
      <x:c r="A20" s="49" t="str">
        <x:v>IP16</x:v>
      </x:c>
      <x:c r="B20" s="50" t="str"/>
      <x:c r="C20" s="50" t="str"/>
      <x:c r="D20" s="50" t="str"/>
      <x:c r="E20" s="50" t="str"/>
      <x:c r="F20" s="50" t="str"/>
      <x:c r="G20" s="55"/>
      <x:c r="H20" s="50" t="str"/>
      <x:c r="I20" s="50" t="str"/>
      <x:c r="J20" s="50" t="str"/>
      <x:c r="K20" s="50" t="str">
        <x:v>否</x:v>
      </x:c>
      <x:c r="L20" s="50" t="str">
        <x:v>否</x:v>
      </x:c>
      <x:c r="M20" s="50" t="str"/>
      <x:c r="N20" s="50" t="str"/>
      <x:c r="O20" s="50" t="str"/>
      <x:c r="P20" s="50" t="str"/>
      <x:c r="Q20" s="50" t="str"/>
      <x:c r="R20" s="57" t="str">
        <x:f>IF(D20="","",IF(H20&lt;&gt;"有效","不可用：未有效",IF(I20&lt;&gt;"是","不可用：权属",IF(AND(B20="Ⅱ类",L20="是"),"不可用：已用于通过认定","可用"))))</x:f>
      </x:c>
      <x:c r="S20" s="50" t="str"/>
    </x:row>
    <x:row r="21">
      <x:c r="A21" s="49" t="str">
        <x:v>IP17</x:v>
      </x:c>
      <x:c r="B21" s="50" t="str"/>
      <x:c r="C21" s="50" t="str"/>
      <x:c r="D21" s="50" t="str"/>
      <x:c r="E21" s="50" t="str"/>
      <x:c r="F21" s="50" t="str"/>
      <x:c r="G21" s="55"/>
      <x:c r="H21" s="50" t="str"/>
      <x:c r="I21" s="50" t="str"/>
      <x:c r="J21" s="50" t="str"/>
      <x:c r="K21" s="50" t="str">
        <x:v>否</x:v>
      </x:c>
      <x:c r="L21" s="50" t="str">
        <x:v>否</x:v>
      </x:c>
      <x:c r="M21" s="50" t="str"/>
      <x:c r="N21" s="50" t="str"/>
      <x:c r="O21" s="50" t="str"/>
      <x:c r="P21" s="50" t="str"/>
      <x:c r="Q21" s="50" t="str"/>
      <x:c r="R21" s="57" t="str">
        <x:f>IF(D21="","",IF(H21&lt;&gt;"有效","不可用：未有效",IF(I21&lt;&gt;"是","不可用：权属",IF(AND(B21="Ⅱ类",L21="是"),"不可用：已用于通过认定","可用"))))</x:f>
      </x:c>
      <x:c r="S21" s="50" t="str"/>
    </x:row>
    <x:row r="22">
      <x:c r="A22" s="49" t="str">
        <x:v>IP18</x:v>
      </x:c>
      <x:c r="B22" s="50" t="str"/>
      <x:c r="C22" s="50" t="str"/>
      <x:c r="D22" s="50" t="str"/>
      <x:c r="E22" s="50" t="str"/>
      <x:c r="F22" s="50" t="str"/>
      <x:c r="G22" s="55"/>
      <x:c r="H22" s="50" t="str"/>
      <x:c r="I22" s="50" t="str"/>
      <x:c r="J22" s="50" t="str"/>
      <x:c r="K22" s="50" t="str">
        <x:v>否</x:v>
      </x:c>
      <x:c r="L22" s="50" t="str">
        <x:v>否</x:v>
      </x:c>
      <x:c r="M22" s="50" t="str"/>
      <x:c r="N22" s="50" t="str"/>
      <x:c r="O22" s="50" t="str"/>
      <x:c r="P22" s="50" t="str"/>
      <x:c r="Q22" s="50" t="str"/>
      <x:c r="R22" s="57" t="str">
        <x:f>IF(D22="","",IF(H22&lt;&gt;"有效","不可用：未有效",IF(I22&lt;&gt;"是","不可用：权属",IF(AND(B22="Ⅱ类",L22="是"),"不可用：已用于通过认定","可用"))))</x:f>
      </x:c>
      <x:c r="S22" s="50" t="str"/>
    </x:row>
    <x:row r="23">
      <x:c r="A23" s="49" t="str">
        <x:v>IP19</x:v>
      </x:c>
      <x:c r="B23" s="50" t="str"/>
      <x:c r="C23" s="50" t="str"/>
      <x:c r="D23" s="50" t="str"/>
      <x:c r="E23" s="50" t="str"/>
      <x:c r="F23" s="50" t="str"/>
      <x:c r="G23" s="55"/>
      <x:c r="H23" s="50" t="str"/>
      <x:c r="I23" s="50" t="str"/>
      <x:c r="J23" s="50" t="str"/>
      <x:c r="K23" s="50" t="str">
        <x:v>否</x:v>
      </x:c>
      <x:c r="L23" s="50" t="str">
        <x:v>否</x:v>
      </x:c>
      <x:c r="M23" s="50" t="str"/>
      <x:c r="N23" s="50" t="str"/>
      <x:c r="O23" s="50" t="str"/>
      <x:c r="P23" s="50" t="str"/>
      <x:c r="Q23" s="50" t="str"/>
      <x:c r="R23" s="57" t="str">
        <x:f>IF(D23="","",IF(H23&lt;&gt;"有效","不可用：未有效",IF(I23&lt;&gt;"是","不可用：权属",IF(AND(B23="Ⅱ类",L23="是"),"不可用：已用于通过认定","可用"))))</x:f>
      </x:c>
      <x:c r="S23" s="50" t="str"/>
    </x:row>
    <x:row r="24">
      <x:c r="A24" s="49" t="str">
        <x:v>IP20</x:v>
      </x:c>
      <x:c r="B24" s="50" t="str"/>
      <x:c r="C24" s="50" t="str"/>
      <x:c r="D24" s="50" t="str"/>
      <x:c r="E24" s="50" t="str"/>
      <x:c r="F24" s="50" t="str"/>
      <x:c r="G24" s="55"/>
      <x:c r="H24" s="50" t="str"/>
      <x:c r="I24" s="50" t="str"/>
      <x:c r="J24" s="50" t="str"/>
      <x:c r="K24" s="50" t="str">
        <x:v>否</x:v>
      </x:c>
      <x:c r="L24" s="50" t="str">
        <x:v>否</x:v>
      </x:c>
      <x:c r="M24" s="50" t="str"/>
      <x:c r="N24" s="50" t="str"/>
      <x:c r="O24" s="50" t="str"/>
      <x:c r="P24" s="50" t="str"/>
      <x:c r="Q24" s="50" t="str"/>
      <x:c r="R24" s="57" t="str">
        <x:f>IF(D24="","",IF(H24&lt;&gt;"有效","不可用：未有效",IF(I24&lt;&gt;"是","不可用：权属",IF(AND(B24="Ⅱ类",L24="是"),"不可用：已用于通过认定","可用"))))</x:f>
      </x:c>
      <x:c r="S24" s="50" t="str"/>
    </x:row>
    <x:row r="25">
      <x:c r="A25" s="49" t="str">
        <x:v>IP21</x:v>
      </x:c>
      <x:c r="B25" s="50" t="str"/>
      <x:c r="C25" s="50" t="str"/>
      <x:c r="D25" s="50" t="str"/>
      <x:c r="E25" s="50" t="str"/>
      <x:c r="F25" s="50" t="str"/>
      <x:c r="G25" s="55"/>
      <x:c r="H25" s="50" t="str"/>
      <x:c r="I25" s="50" t="str"/>
      <x:c r="J25" s="50" t="str"/>
      <x:c r="K25" s="50" t="str">
        <x:v>否</x:v>
      </x:c>
      <x:c r="L25" s="50" t="str">
        <x:v>否</x:v>
      </x:c>
      <x:c r="M25" s="50" t="str"/>
      <x:c r="N25" s="50" t="str"/>
      <x:c r="O25" s="50" t="str"/>
      <x:c r="P25" s="50" t="str"/>
      <x:c r="Q25" s="50" t="str"/>
      <x:c r="R25" s="57" t="str">
        <x:f>IF(D25="","",IF(H25&lt;&gt;"有效","不可用：未有效",IF(I25&lt;&gt;"是","不可用：权属",IF(AND(B25="Ⅱ类",L25="是"),"不可用：已用于通过认定","可用"))))</x:f>
      </x:c>
      <x:c r="S25" s="50" t="str"/>
    </x:row>
    <x:row r="26">
      <x:c r="A26" s="49" t="str">
        <x:v>IP22</x:v>
      </x:c>
      <x:c r="B26" s="50" t="str"/>
      <x:c r="C26" s="50" t="str"/>
      <x:c r="D26" s="50" t="str"/>
      <x:c r="E26" s="50" t="str"/>
      <x:c r="F26" s="50" t="str"/>
      <x:c r="G26" s="55"/>
      <x:c r="H26" s="50" t="str"/>
      <x:c r="I26" s="50" t="str"/>
      <x:c r="J26" s="50" t="str"/>
      <x:c r="K26" s="50" t="str">
        <x:v>否</x:v>
      </x:c>
      <x:c r="L26" s="50" t="str">
        <x:v>否</x:v>
      </x:c>
      <x:c r="M26" s="50" t="str"/>
      <x:c r="N26" s="50" t="str"/>
      <x:c r="O26" s="50" t="str"/>
      <x:c r="P26" s="50" t="str"/>
      <x:c r="Q26" s="50" t="str"/>
      <x:c r="R26" s="57" t="str">
        <x:f>IF(D26="","",IF(H26&lt;&gt;"有效","不可用：未有效",IF(I26&lt;&gt;"是","不可用：权属",IF(AND(B26="Ⅱ类",L26="是"),"不可用：已用于通过认定","可用"))))</x:f>
      </x:c>
      <x:c r="S26" s="50" t="str"/>
    </x:row>
    <x:row r="27">
      <x:c r="A27" s="49" t="str">
        <x:v>IP23</x:v>
      </x:c>
      <x:c r="B27" s="50" t="str"/>
      <x:c r="C27" s="50" t="str"/>
      <x:c r="D27" s="50" t="str"/>
      <x:c r="E27" s="50" t="str"/>
      <x:c r="F27" s="50" t="str"/>
      <x:c r="G27" s="55"/>
      <x:c r="H27" s="50" t="str"/>
      <x:c r="I27" s="50" t="str"/>
      <x:c r="J27" s="50" t="str"/>
      <x:c r="K27" s="50" t="str">
        <x:v>否</x:v>
      </x:c>
      <x:c r="L27" s="50" t="str">
        <x:v>否</x:v>
      </x:c>
      <x:c r="M27" s="50" t="str"/>
      <x:c r="N27" s="50" t="str"/>
      <x:c r="O27" s="50" t="str"/>
      <x:c r="P27" s="50" t="str"/>
      <x:c r="Q27" s="50" t="str"/>
      <x:c r="R27" s="57" t="str">
        <x:f>IF(D27="","",IF(H27&lt;&gt;"有效","不可用：未有效",IF(I27&lt;&gt;"是","不可用：权属",IF(AND(B27="Ⅱ类",L27="是"),"不可用：已用于通过认定","可用"))))</x:f>
      </x:c>
      <x:c r="S27" s="50" t="str"/>
    </x:row>
    <x:row r="28">
      <x:c r="A28" s="49" t="str">
        <x:v>IP24</x:v>
      </x:c>
      <x:c r="B28" s="50" t="str"/>
      <x:c r="C28" s="50" t="str"/>
      <x:c r="D28" s="50" t="str"/>
      <x:c r="E28" s="50" t="str"/>
      <x:c r="F28" s="50" t="str"/>
      <x:c r="G28" s="55"/>
      <x:c r="H28" s="50" t="str"/>
      <x:c r="I28" s="50" t="str"/>
      <x:c r="J28" s="50" t="str"/>
      <x:c r="K28" s="50" t="str">
        <x:v>否</x:v>
      </x:c>
      <x:c r="L28" s="50" t="str">
        <x:v>否</x:v>
      </x:c>
      <x:c r="M28" s="50" t="str"/>
      <x:c r="N28" s="50" t="str"/>
      <x:c r="O28" s="50" t="str"/>
      <x:c r="P28" s="50" t="str"/>
      <x:c r="Q28" s="50" t="str"/>
      <x:c r="R28" s="57" t="str">
        <x:f>IF(D28="","",IF(H28&lt;&gt;"有效","不可用：未有效",IF(I28&lt;&gt;"是","不可用：权属",IF(AND(B28="Ⅱ类",L28="是"),"不可用：已用于通过认定","可用"))))</x:f>
      </x:c>
      <x:c r="S28" s="50" t="str"/>
    </x:row>
    <x:row r="29">
      <x:c r="A29" s="49" t="str">
        <x:v>IP25</x:v>
      </x:c>
      <x:c r="B29" s="50" t="str"/>
      <x:c r="C29" s="50" t="str"/>
      <x:c r="D29" s="50" t="str"/>
      <x:c r="E29" s="50" t="str"/>
      <x:c r="F29" s="50" t="str"/>
      <x:c r="G29" s="55"/>
      <x:c r="H29" s="50" t="str"/>
      <x:c r="I29" s="50" t="str"/>
      <x:c r="J29" s="50" t="str"/>
      <x:c r="K29" s="50" t="str">
        <x:v>否</x:v>
      </x:c>
      <x:c r="L29" s="50" t="str">
        <x:v>否</x:v>
      </x:c>
      <x:c r="M29" s="50" t="str"/>
      <x:c r="N29" s="50" t="str"/>
      <x:c r="O29" s="50" t="str"/>
      <x:c r="P29" s="50" t="str"/>
      <x:c r="Q29" s="50" t="str"/>
      <x:c r="R29" s="57" t="str">
        <x:f>IF(D29="","",IF(H29&lt;&gt;"有效","不可用：未有效",IF(I29&lt;&gt;"是","不可用：权属",IF(AND(B29="Ⅱ类",L29="是"),"不可用：已用于通过认定","可用"))))</x:f>
      </x:c>
      <x:c r="S29" s="50" t="str"/>
    </x:row>
    <x:row r="30">
      <x:c r="A30" s="49" t="str">
        <x:v>IP26</x:v>
      </x:c>
      <x:c r="B30" s="50" t="str"/>
      <x:c r="C30" s="50" t="str"/>
      <x:c r="D30" s="50" t="str"/>
      <x:c r="E30" s="50" t="str"/>
      <x:c r="F30" s="50" t="str"/>
      <x:c r="G30" s="55"/>
      <x:c r="H30" s="50" t="str"/>
      <x:c r="I30" s="50" t="str"/>
      <x:c r="J30" s="50" t="str"/>
      <x:c r="K30" s="50" t="str">
        <x:v>否</x:v>
      </x:c>
      <x:c r="L30" s="50" t="str">
        <x:v>否</x:v>
      </x:c>
      <x:c r="M30" s="50" t="str"/>
      <x:c r="N30" s="50" t="str"/>
      <x:c r="O30" s="50" t="str"/>
      <x:c r="P30" s="50" t="str"/>
      <x:c r="Q30" s="50" t="str"/>
      <x:c r="R30" s="57" t="str">
        <x:f>IF(D30="","",IF(H30&lt;&gt;"有效","不可用：未有效",IF(I30&lt;&gt;"是","不可用：权属",IF(AND(B30="Ⅱ类",L30="是"),"不可用：已用于通过认定","可用"))))</x:f>
      </x:c>
      <x:c r="S30" s="50" t="str"/>
    </x:row>
    <x:row r="31">
      <x:c r="A31" s="49" t="str">
        <x:v>IP27</x:v>
      </x:c>
      <x:c r="B31" s="50" t="str"/>
      <x:c r="C31" s="50" t="str"/>
      <x:c r="D31" s="50" t="str"/>
      <x:c r="E31" s="50" t="str"/>
      <x:c r="F31" s="50" t="str"/>
      <x:c r="G31" s="55"/>
      <x:c r="H31" s="50" t="str"/>
      <x:c r="I31" s="50" t="str"/>
      <x:c r="J31" s="50" t="str"/>
      <x:c r="K31" s="50" t="str">
        <x:v>否</x:v>
      </x:c>
      <x:c r="L31" s="50" t="str">
        <x:v>否</x:v>
      </x:c>
      <x:c r="M31" s="50" t="str"/>
      <x:c r="N31" s="50" t="str"/>
      <x:c r="O31" s="50" t="str"/>
      <x:c r="P31" s="50" t="str"/>
      <x:c r="Q31" s="50" t="str"/>
      <x:c r="R31" s="57" t="str">
        <x:f>IF(D31="","",IF(H31&lt;&gt;"有效","不可用：未有效",IF(I31&lt;&gt;"是","不可用：权属",IF(AND(B31="Ⅱ类",L31="是"),"不可用：已用于通过认定","可用"))))</x:f>
      </x:c>
      <x:c r="S31" s="50" t="str"/>
    </x:row>
    <x:row r="32">
      <x:c r="A32" s="49" t="str">
        <x:v>IP28</x:v>
      </x:c>
      <x:c r="B32" s="50" t="str"/>
      <x:c r="C32" s="50" t="str"/>
      <x:c r="D32" s="50" t="str"/>
      <x:c r="E32" s="50" t="str"/>
      <x:c r="F32" s="50" t="str"/>
      <x:c r="G32" s="55"/>
      <x:c r="H32" s="50" t="str"/>
      <x:c r="I32" s="50" t="str"/>
      <x:c r="J32" s="50" t="str"/>
      <x:c r="K32" s="50" t="str">
        <x:v>否</x:v>
      </x:c>
      <x:c r="L32" s="50" t="str">
        <x:v>否</x:v>
      </x:c>
      <x:c r="M32" s="50" t="str"/>
      <x:c r="N32" s="50" t="str"/>
      <x:c r="O32" s="50" t="str"/>
      <x:c r="P32" s="50" t="str"/>
      <x:c r="Q32" s="50" t="str"/>
      <x:c r="R32" s="57" t="str">
        <x:f>IF(D32="","",IF(H32&lt;&gt;"有效","不可用：未有效",IF(I32&lt;&gt;"是","不可用：权属",IF(AND(B32="Ⅱ类",L32="是"),"不可用：已用于通过认定","可用"))))</x:f>
      </x:c>
      <x:c r="S32" s="50" t="str"/>
    </x:row>
    <x:row r="33">
      <x:c r="A33" s="49" t="str">
        <x:v>IP29</x:v>
      </x:c>
      <x:c r="B33" s="50" t="str"/>
      <x:c r="C33" s="50" t="str"/>
      <x:c r="D33" s="50" t="str"/>
      <x:c r="E33" s="50" t="str"/>
      <x:c r="F33" s="50" t="str"/>
      <x:c r="G33" s="55"/>
      <x:c r="H33" s="50" t="str"/>
      <x:c r="I33" s="50" t="str"/>
      <x:c r="J33" s="50" t="str"/>
      <x:c r="K33" s="50" t="str">
        <x:v>否</x:v>
      </x:c>
      <x:c r="L33" s="50" t="str">
        <x:v>否</x:v>
      </x:c>
      <x:c r="M33" s="50" t="str"/>
      <x:c r="N33" s="50" t="str"/>
      <x:c r="O33" s="50" t="str"/>
      <x:c r="P33" s="50" t="str"/>
      <x:c r="Q33" s="50" t="str"/>
      <x:c r="R33" s="57" t="str">
        <x:f>IF(D33="","",IF(H33&lt;&gt;"有效","不可用：未有效",IF(I33&lt;&gt;"是","不可用：权属",IF(AND(B33="Ⅱ类",L33="是"),"不可用：已用于通过认定","可用"))))</x:f>
      </x:c>
      <x:c r="S33" s="50" t="str"/>
    </x:row>
    <x:row r="34">
      <x:c r="A34" s="49" t="str">
        <x:v>IP30</x:v>
      </x:c>
      <x:c r="B34" s="50" t="str"/>
      <x:c r="C34" s="50" t="str"/>
      <x:c r="D34" s="50" t="str"/>
      <x:c r="E34" s="50" t="str"/>
      <x:c r="F34" s="50" t="str"/>
      <x:c r="G34" s="55"/>
      <x:c r="H34" s="50" t="str"/>
      <x:c r="I34" s="50" t="str"/>
      <x:c r="J34" s="50" t="str"/>
      <x:c r="K34" s="50" t="str">
        <x:v>否</x:v>
      </x:c>
      <x:c r="L34" s="50" t="str">
        <x:v>否</x:v>
      </x:c>
      <x:c r="M34" s="50" t="str"/>
      <x:c r="N34" s="50" t="str"/>
      <x:c r="O34" s="50" t="str"/>
      <x:c r="P34" s="50" t="str"/>
      <x:c r="Q34" s="50" t="str"/>
      <x:c r="R34" s="57" t="str">
        <x:f>IF(D34="","",IF(H34&lt;&gt;"有效","不可用：未有效",IF(I34&lt;&gt;"是","不可用：权属",IF(AND(B34="Ⅱ类",L34="是"),"不可用：已用于通过认定","可用"))))</x:f>
      </x:c>
      <x:c r="S34" s="50" t="str"/>
    </x:row>
    <x:row r="35">
      <x:c r="A35" s="49" t="str">
        <x:v>IP31</x:v>
      </x:c>
      <x:c r="B35" s="50" t="str"/>
      <x:c r="C35" s="50" t="str"/>
      <x:c r="D35" s="50" t="str"/>
      <x:c r="E35" s="50" t="str"/>
      <x:c r="F35" s="50" t="str"/>
      <x:c r="G35" s="55"/>
      <x:c r="H35" s="50" t="str"/>
      <x:c r="I35" s="50" t="str"/>
      <x:c r="J35" s="50" t="str"/>
      <x:c r="K35" s="50" t="str">
        <x:v>否</x:v>
      </x:c>
      <x:c r="L35" s="50" t="str">
        <x:v>否</x:v>
      </x:c>
      <x:c r="M35" s="50" t="str"/>
      <x:c r="N35" s="50" t="str"/>
      <x:c r="O35" s="50" t="str"/>
      <x:c r="P35" s="50" t="str"/>
      <x:c r="Q35" s="50" t="str"/>
      <x:c r="R35" s="57" t="str">
        <x:f>IF(D35="","",IF(H35&lt;&gt;"有效","不可用：未有效",IF(I35&lt;&gt;"是","不可用：权属",IF(AND(B35="Ⅱ类",L35="是"),"不可用：已用于通过认定","可用"))))</x:f>
      </x:c>
      <x:c r="S35" s="50" t="str"/>
    </x:row>
    <x:row r="36">
      <x:c r="A36" s="49" t="str">
        <x:v>IP32</x:v>
      </x:c>
      <x:c r="B36" s="50" t="str"/>
      <x:c r="C36" s="50" t="str"/>
      <x:c r="D36" s="50" t="str"/>
      <x:c r="E36" s="50" t="str"/>
      <x:c r="F36" s="50" t="str"/>
      <x:c r="G36" s="55"/>
      <x:c r="H36" s="50" t="str"/>
      <x:c r="I36" s="50" t="str"/>
      <x:c r="J36" s="50" t="str"/>
      <x:c r="K36" s="50" t="str">
        <x:v>否</x:v>
      </x:c>
      <x:c r="L36" s="50" t="str">
        <x:v>否</x:v>
      </x:c>
      <x:c r="M36" s="50" t="str"/>
      <x:c r="N36" s="50" t="str"/>
      <x:c r="O36" s="50" t="str"/>
      <x:c r="P36" s="50" t="str"/>
      <x:c r="Q36" s="50" t="str"/>
      <x:c r="R36" s="57" t="str">
        <x:f>IF(D36="","",IF(H36&lt;&gt;"有效","不可用：未有效",IF(I36&lt;&gt;"是","不可用：权属",IF(AND(B36="Ⅱ类",L36="是"),"不可用：已用于通过认定","可用"))))</x:f>
      </x:c>
      <x:c r="S36" s="50" t="str"/>
    </x:row>
    <x:row r="37">
      <x:c r="A37" s="49" t="str">
        <x:v>IP33</x:v>
      </x:c>
      <x:c r="B37" s="50" t="str"/>
      <x:c r="C37" s="50" t="str"/>
      <x:c r="D37" s="50" t="str"/>
      <x:c r="E37" s="50" t="str"/>
      <x:c r="F37" s="50" t="str"/>
      <x:c r="G37" s="55"/>
      <x:c r="H37" s="50" t="str"/>
      <x:c r="I37" s="50" t="str"/>
      <x:c r="J37" s="50" t="str"/>
      <x:c r="K37" s="50" t="str">
        <x:v>否</x:v>
      </x:c>
      <x:c r="L37" s="50" t="str">
        <x:v>否</x:v>
      </x:c>
      <x:c r="M37" s="50" t="str"/>
      <x:c r="N37" s="50" t="str"/>
      <x:c r="O37" s="50" t="str"/>
      <x:c r="P37" s="50" t="str"/>
      <x:c r="Q37" s="50" t="str"/>
      <x:c r="R37" s="57" t="str">
        <x:f>IF(D37="","",IF(H37&lt;&gt;"有效","不可用：未有效",IF(I37&lt;&gt;"是","不可用：权属",IF(AND(B37="Ⅱ类",L37="是"),"不可用：已用于通过认定","可用"))))</x:f>
      </x:c>
      <x:c r="S37" s="50" t="str"/>
    </x:row>
    <x:row r="38">
      <x:c r="A38" s="49" t="str">
        <x:v>IP34</x:v>
      </x:c>
      <x:c r="B38" s="50" t="str"/>
      <x:c r="C38" s="50" t="str"/>
      <x:c r="D38" s="50" t="str"/>
      <x:c r="E38" s="50" t="str"/>
      <x:c r="F38" s="50" t="str"/>
      <x:c r="G38" s="55"/>
      <x:c r="H38" s="50" t="str"/>
      <x:c r="I38" s="50" t="str"/>
      <x:c r="J38" s="50" t="str"/>
      <x:c r="K38" s="50" t="str">
        <x:v>否</x:v>
      </x:c>
      <x:c r="L38" s="50" t="str">
        <x:v>否</x:v>
      </x:c>
      <x:c r="M38" s="50" t="str"/>
      <x:c r="N38" s="50" t="str"/>
      <x:c r="O38" s="50" t="str"/>
      <x:c r="P38" s="50" t="str"/>
      <x:c r="Q38" s="50" t="str"/>
      <x:c r="R38" s="57" t="str">
        <x:f>IF(D38="","",IF(H38&lt;&gt;"有效","不可用：未有效",IF(I38&lt;&gt;"是","不可用：权属",IF(AND(B38="Ⅱ类",L38="是"),"不可用：已用于通过认定","可用"))))</x:f>
      </x:c>
      <x:c r="S38" s="50" t="str"/>
    </x:row>
    <x:row r="39">
      <x:c r="A39" s="49" t="str">
        <x:v>IP35</x:v>
      </x:c>
      <x:c r="B39" s="50" t="str"/>
      <x:c r="C39" s="50" t="str"/>
      <x:c r="D39" s="50" t="str"/>
      <x:c r="E39" s="50" t="str"/>
      <x:c r="F39" s="50" t="str"/>
      <x:c r="G39" s="55"/>
      <x:c r="H39" s="50" t="str"/>
      <x:c r="I39" s="50" t="str"/>
      <x:c r="J39" s="50" t="str"/>
      <x:c r="K39" s="50" t="str">
        <x:v>否</x:v>
      </x:c>
      <x:c r="L39" s="50" t="str">
        <x:v>否</x:v>
      </x:c>
      <x:c r="M39" s="50" t="str"/>
      <x:c r="N39" s="50" t="str"/>
      <x:c r="O39" s="50" t="str"/>
      <x:c r="P39" s="50" t="str"/>
      <x:c r="Q39" s="50" t="str"/>
      <x:c r="R39" s="57" t="str">
        <x:f>IF(D39="","",IF(H39&lt;&gt;"有效","不可用：未有效",IF(I39&lt;&gt;"是","不可用：权属",IF(AND(B39="Ⅱ类",L39="是"),"不可用：已用于通过认定","可用"))))</x:f>
      </x:c>
      <x:c r="S39" s="50" t="str"/>
    </x:row>
    <x:row r="40">
      <x:c r="A40" s="49" t="str">
        <x:v>IP36</x:v>
      </x:c>
      <x:c r="B40" s="50" t="str"/>
      <x:c r="C40" s="50" t="str"/>
      <x:c r="D40" s="50" t="str"/>
      <x:c r="E40" s="50" t="str"/>
      <x:c r="F40" s="50" t="str"/>
      <x:c r="G40" s="55"/>
      <x:c r="H40" s="50" t="str"/>
      <x:c r="I40" s="50" t="str"/>
      <x:c r="J40" s="50" t="str"/>
      <x:c r="K40" s="50" t="str">
        <x:v>否</x:v>
      </x:c>
      <x:c r="L40" s="50" t="str">
        <x:v>否</x:v>
      </x:c>
      <x:c r="M40" s="50" t="str"/>
      <x:c r="N40" s="50" t="str"/>
      <x:c r="O40" s="50" t="str"/>
      <x:c r="P40" s="50" t="str"/>
      <x:c r="Q40" s="50" t="str"/>
      <x:c r="R40" s="57" t="str">
        <x:f>IF(D40="","",IF(H40&lt;&gt;"有效","不可用：未有效",IF(I40&lt;&gt;"是","不可用：权属",IF(AND(B40="Ⅱ类",L40="是"),"不可用：已用于通过认定","可用"))))</x:f>
      </x:c>
      <x:c r="S40" s="50" t="str"/>
    </x:row>
    <x:row r="41">
      <x:c r="A41" s="49" t="str">
        <x:v>IP37</x:v>
      </x:c>
      <x:c r="B41" s="50" t="str"/>
      <x:c r="C41" s="50" t="str"/>
      <x:c r="D41" s="50" t="str"/>
      <x:c r="E41" s="50" t="str"/>
      <x:c r="F41" s="50" t="str"/>
      <x:c r="G41" s="55"/>
      <x:c r="H41" s="50" t="str"/>
      <x:c r="I41" s="50" t="str"/>
      <x:c r="J41" s="50" t="str"/>
      <x:c r="K41" s="50" t="str">
        <x:v>否</x:v>
      </x:c>
      <x:c r="L41" s="50" t="str">
        <x:v>否</x:v>
      </x:c>
      <x:c r="M41" s="50" t="str"/>
      <x:c r="N41" s="50" t="str"/>
      <x:c r="O41" s="50" t="str"/>
      <x:c r="P41" s="50" t="str"/>
      <x:c r="Q41" s="50" t="str"/>
      <x:c r="R41" s="57" t="str">
        <x:f>IF(D41="","",IF(H41&lt;&gt;"有效","不可用：未有效",IF(I41&lt;&gt;"是","不可用：权属",IF(AND(B41="Ⅱ类",L41="是"),"不可用：已用于通过认定","可用"))))</x:f>
      </x:c>
      <x:c r="S41" s="50" t="str"/>
    </x:row>
    <x:row r="42">
      <x:c r="A42" s="49" t="str">
        <x:v>IP38</x:v>
      </x:c>
      <x:c r="B42" s="50" t="str"/>
      <x:c r="C42" s="50" t="str"/>
      <x:c r="D42" s="50" t="str"/>
      <x:c r="E42" s="50" t="str"/>
      <x:c r="F42" s="50" t="str"/>
      <x:c r="G42" s="55"/>
      <x:c r="H42" s="50" t="str"/>
      <x:c r="I42" s="50" t="str"/>
      <x:c r="J42" s="50" t="str"/>
      <x:c r="K42" s="50" t="str">
        <x:v>否</x:v>
      </x:c>
      <x:c r="L42" s="50" t="str">
        <x:v>否</x:v>
      </x:c>
      <x:c r="M42" s="50" t="str"/>
      <x:c r="N42" s="50" t="str"/>
      <x:c r="O42" s="50" t="str"/>
      <x:c r="P42" s="50" t="str"/>
      <x:c r="Q42" s="50" t="str"/>
      <x:c r="R42" s="57" t="str">
        <x:f>IF(D42="","",IF(H42&lt;&gt;"有效","不可用：未有效",IF(I42&lt;&gt;"是","不可用：权属",IF(AND(B42="Ⅱ类",L42="是"),"不可用：已用于通过认定","可用"))))</x:f>
      </x:c>
      <x:c r="S42" s="50" t="str"/>
    </x:row>
    <x:row r="43">
      <x:c r="A43" s="49" t="str">
        <x:v>IP39</x:v>
      </x:c>
      <x:c r="B43" s="50" t="str"/>
      <x:c r="C43" s="50" t="str"/>
      <x:c r="D43" s="50" t="str"/>
      <x:c r="E43" s="50" t="str"/>
      <x:c r="F43" s="50" t="str"/>
      <x:c r="G43" s="55"/>
      <x:c r="H43" s="50" t="str"/>
      <x:c r="I43" s="50" t="str"/>
      <x:c r="J43" s="50" t="str"/>
      <x:c r="K43" s="50" t="str">
        <x:v>否</x:v>
      </x:c>
      <x:c r="L43" s="50" t="str">
        <x:v>否</x:v>
      </x:c>
      <x:c r="M43" s="50" t="str"/>
      <x:c r="N43" s="50" t="str"/>
      <x:c r="O43" s="50" t="str"/>
      <x:c r="P43" s="50" t="str"/>
      <x:c r="Q43" s="50" t="str"/>
      <x:c r="R43" s="57" t="str">
        <x:f>IF(D43="","",IF(H43&lt;&gt;"有效","不可用：未有效",IF(I43&lt;&gt;"是","不可用：权属",IF(AND(B43="Ⅱ类",L43="是"),"不可用：已用于通过认定","可用"))))</x:f>
      </x:c>
      <x:c r="S43" s="50" t="str"/>
    </x:row>
    <x:row r="44">
      <x:c r="A44" s="49" t="str">
        <x:v>IP40</x:v>
      </x:c>
      <x:c r="B44" s="50" t="str"/>
      <x:c r="C44" s="50" t="str"/>
      <x:c r="D44" s="50" t="str"/>
      <x:c r="E44" s="50" t="str"/>
      <x:c r="F44" s="50" t="str"/>
      <x:c r="G44" s="55"/>
      <x:c r="H44" s="50" t="str"/>
      <x:c r="I44" s="50" t="str"/>
      <x:c r="J44" s="50" t="str"/>
      <x:c r="K44" s="50" t="str">
        <x:v>否</x:v>
      </x:c>
      <x:c r="L44" s="50" t="str">
        <x:v>否</x:v>
      </x:c>
      <x:c r="M44" s="50" t="str"/>
      <x:c r="N44" s="50" t="str"/>
      <x:c r="O44" s="50" t="str"/>
      <x:c r="P44" s="50" t="str"/>
      <x:c r="Q44" s="50" t="str"/>
      <x:c r="R44" s="57" t="str">
        <x:f>IF(D44="","",IF(H44&lt;&gt;"有效","不可用：未有效",IF(I44&lt;&gt;"是","不可用：权属",IF(AND(B44="Ⅱ类",L44="是"),"不可用：已用于通过认定","可用"))))</x:f>
      </x:c>
      <x:c r="S44" s="50" t="str"/>
    </x:row>
    <x:row r="45">
      <x:c r="A45" s="49" t="str">
        <x:v>IP41</x:v>
      </x:c>
      <x:c r="B45" s="50" t="str"/>
      <x:c r="C45" s="50" t="str"/>
      <x:c r="D45" s="50" t="str"/>
      <x:c r="E45" s="50" t="str"/>
      <x:c r="F45" s="50" t="str"/>
      <x:c r="G45" s="55"/>
      <x:c r="H45" s="50" t="str"/>
      <x:c r="I45" s="50" t="str"/>
      <x:c r="J45" s="50" t="str"/>
      <x:c r="K45" s="50" t="str">
        <x:v>否</x:v>
      </x:c>
      <x:c r="L45" s="50" t="str">
        <x:v>否</x:v>
      </x:c>
      <x:c r="M45" s="50" t="str"/>
      <x:c r="N45" s="50" t="str"/>
      <x:c r="O45" s="50" t="str"/>
      <x:c r="P45" s="50" t="str"/>
      <x:c r="Q45" s="50" t="str"/>
      <x:c r="R45" s="57" t="str">
        <x:f>IF(D45="","",IF(H45&lt;&gt;"有效","不可用：未有效",IF(I45&lt;&gt;"是","不可用：权属",IF(AND(B45="Ⅱ类",L45="是"),"不可用：已用于通过认定","可用"))))</x:f>
      </x:c>
      <x:c r="S45" s="50" t="str"/>
    </x:row>
    <x:row r="46">
      <x:c r="A46" s="49" t="str">
        <x:v>IP42</x:v>
      </x:c>
      <x:c r="B46" s="50" t="str"/>
      <x:c r="C46" s="50" t="str"/>
      <x:c r="D46" s="50" t="str"/>
      <x:c r="E46" s="50" t="str"/>
      <x:c r="F46" s="50" t="str"/>
      <x:c r="G46" s="55"/>
      <x:c r="H46" s="50" t="str"/>
      <x:c r="I46" s="50" t="str"/>
      <x:c r="J46" s="50" t="str"/>
      <x:c r="K46" s="50" t="str">
        <x:v>否</x:v>
      </x:c>
      <x:c r="L46" s="50" t="str">
        <x:v>否</x:v>
      </x:c>
      <x:c r="M46" s="50" t="str"/>
      <x:c r="N46" s="50" t="str"/>
      <x:c r="O46" s="50" t="str"/>
      <x:c r="P46" s="50" t="str"/>
      <x:c r="Q46" s="50" t="str"/>
      <x:c r="R46" s="57" t="str">
        <x:f>IF(D46="","",IF(H46&lt;&gt;"有效","不可用：未有效",IF(I46&lt;&gt;"是","不可用：权属",IF(AND(B46="Ⅱ类",L46="是"),"不可用：已用于通过认定","可用"))))</x:f>
      </x:c>
      <x:c r="S46" s="50" t="str"/>
    </x:row>
    <x:row r="47">
      <x:c r="A47" s="49" t="str">
        <x:v>IP43</x:v>
      </x:c>
      <x:c r="B47" s="50" t="str"/>
      <x:c r="C47" s="50" t="str"/>
      <x:c r="D47" s="50" t="str"/>
      <x:c r="E47" s="50" t="str"/>
      <x:c r="F47" s="50" t="str"/>
      <x:c r="G47" s="55"/>
      <x:c r="H47" s="50" t="str"/>
      <x:c r="I47" s="50" t="str"/>
      <x:c r="J47" s="50" t="str"/>
      <x:c r="K47" s="50" t="str">
        <x:v>否</x:v>
      </x:c>
      <x:c r="L47" s="50" t="str">
        <x:v>否</x:v>
      </x:c>
      <x:c r="M47" s="50" t="str"/>
      <x:c r="N47" s="50" t="str"/>
      <x:c r="O47" s="50" t="str"/>
      <x:c r="P47" s="50" t="str"/>
      <x:c r="Q47" s="50" t="str"/>
      <x:c r="R47" s="57" t="str">
        <x:f>IF(D47="","",IF(H47&lt;&gt;"有效","不可用：未有效",IF(I47&lt;&gt;"是","不可用：权属",IF(AND(B47="Ⅱ类",L47="是"),"不可用：已用于通过认定","可用"))))</x:f>
      </x:c>
      <x:c r="S47" s="50" t="str"/>
    </x:row>
    <x:row r="48">
      <x:c r="A48" s="49" t="str">
        <x:v>IP44</x:v>
      </x:c>
      <x:c r="B48" s="50" t="str"/>
      <x:c r="C48" s="50" t="str"/>
      <x:c r="D48" s="50" t="str"/>
      <x:c r="E48" s="50" t="str"/>
      <x:c r="F48" s="50" t="str"/>
      <x:c r="G48" s="55"/>
      <x:c r="H48" s="50" t="str"/>
      <x:c r="I48" s="50" t="str"/>
      <x:c r="J48" s="50" t="str"/>
      <x:c r="K48" s="50" t="str">
        <x:v>否</x:v>
      </x:c>
      <x:c r="L48" s="50" t="str">
        <x:v>否</x:v>
      </x:c>
      <x:c r="M48" s="50" t="str"/>
      <x:c r="N48" s="50" t="str"/>
      <x:c r="O48" s="50" t="str"/>
      <x:c r="P48" s="50" t="str"/>
      <x:c r="Q48" s="50" t="str"/>
      <x:c r="R48" s="57" t="str">
        <x:f>IF(D48="","",IF(H48&lt;&gt;"有效","不可用：未有效",IF(I48&lt;&gt;"是","不可用：权属",IF(AND(B48="Ⅱ类",L48="是"),"不可用：已用于通过认定","可用"))))</x:f>
      </x:c>
      <x:c r="S48" s="50" t="str"/>
    </x:row>
    <x:row r="49">
      <x:c r="A49" s="49" t="str">
        <x:v>IP45</x:v>
      </x:c>
      <x:c r="B49" s="50" t="str"/>
      <x:c r="C49" s="50" t="str"/>
      <x:c r="D49" s="50" t="str"/>
      <x:c r="E49" s="50" t="str"/>
      <x:c r="F49" s="50" t="str"/>
      <x:c r="G49" s="55"/>
      <x:c r="H49" s="50" t="str"/>
      <x:c r="I49" s="50" t="str"/>
      <x:c r="J49" s="50" t="str"/>
      <x:c r="K49" s="50" t="str">
        <x:v>否</x:v>
      </x:c>
      <x:c r="L49" s="50" t="str">
        <x:v>否</x:v>
      </x:c>
      <x:c r="M49" s="50" t="str"/>
      <x:c r="N49" s="50" t="str"/>
      <x:c r="O49" s="50" t="str"/>
      <x:c r="P49" s="50" t="str"/>
      <x:c r="Q49" s="50" t="str"/>
      <x:c r="R49" s="57" t="str">
        <x:f>IF(D49="","",IF(H49&lt;&gt;"有效","不可用：未有效",IF(I49&lt;&gt;"是","不可用：权属",IF(AND(B49="Ⅱ类",L49="是"),"不可用：已用于通过认定","可用"))))</x:f>
      </x:c>
      <x:c r="S49" s="50" t="str"/>
    </x:row>
    <x:row r="50">
      <x:c r="A50" s="49" t="str">
        <x:v>IP46</x:v>
      </x:c>
      <x:c r="B50" s="50" t="str"/>
      <x:c r="C50" s="50" t="str"/>
      <x:c r="D50" s="50" t="str"/>
      <x:c r="E50" s="50" t="str"/>
      <x:c r="F50" s="50" t="str"/>
      <x:c r="G50" s="55"/>
      <x:c r="H50" s="50" t="str"/>
      <x:c r="I50" s="50" t="str"/>
      <x:c r="J50" s="50" t="str"/>
      <x:c r="K50" s="50" t="str">
        <x:v>否</x:v>
      </x:c>
      <x:c r="L50" s="50" t="str">
        <x:v>否</x:v>
      </x:c>
      <x:c r="M50" s="50" t="str"/>
      <x:c r="N50" s="50" t="str"/>
      <x:c r="O50" s="50" t="str"/>
      <x:c r="P50" s="50" t="str"/>
      <x:c r="Q50" s="50" t="str"/>
      <x:c r="R50" s="57" t="str">
        <x:f>IF(D50="","",IF(H50&lt;&gt;"有效","不可用：未有效",IF(I50&lt;&gt;"是","不可用：权属",IF(AND(B50="Ⅱ类",L50="是"),"不可用：已用于通过认定","可用"))))</x:f>
      </x:c>
      <x:c r="S50" s="50" t="str"/>
    </x:row>
    <x:row r="51">
      <x:c r="A51" s="49" t="str">
        <x:v>IP47</x:v>
      </x:c>
      <x:c r="B51" s="50" t="str"/>
      <x:c r="C51" s="50" t="str"/>
      <x:c r="D51" s="50" t="str"/>
      <x:c r="E51" s="50" t="str"/>
      <x:c r="F51" s="50" t="str"/>
      <x:c r="G51" s="55"/>
      <x:c r="H51" s="50" t="str"/>
      <x:c r="I51" s="50" t="str"/>
      <x:c r="J51" s="50" t="str"/>
      <x:c r="K51" s="50" t="str">
        <x:v>否</x:v>
      </x:c>
      <x:c r="L51" s="50" t="str">
        <x:v>否</x:v>
      </x:c>
      <x:c r="M51" s="50" t="str"/>
      <x:c r="N51" s="50" t="str"/>
      <x:c r="O51" s="50" t="str"/>
      <x:c r="P51" s="50" t="str"/>
      <x:c r="Q51" s="50" t="str"/>
      <x:c r="R51" s="57" t="str">
        <x:f>IF(D51="","",IF(H51&lt;&gt;"有效","不可用：未有效",IF(I51&lt;&gt;"是","不可用：权属",IF(AND(B51="Ⅱ类",L51="是"),"不可用：已用于通过认定","可用"))))</x:f>
      </x:c>
      <x:c r="S51" s="50" t="str"/>
    </x:row>
    <x:row r="52">
      <x:c r="A52" s="49" t="str">
        <x:v>IP48</x:v>
      </x:c>
      <x:c r="B52" s="50" t="str"/>
      <x:c r="C52" s="50" t="str"/>
      <x:c r="D52" s="50" t="str"/>
      <x:c r="E52" s="50" t="str"/>
      <x:c r="F52" s="50" t="str"/>
      <x:c r="G52" s="55"/>
      <x:c r="H52" s="50" t="str"/>
      <x:c r="I52" s="50" t="str"/>
      <x:c r="J52" s="50" t="str"/>
      <x:c r="K52" s="50" t="str">
        <x:v>否</x:v>
      </x:c>
      <x:c r="L52" s="50" t="str">
        <x:v>否</x:v>
      </x:c>
      <x:c r="M52" s="50" t="str"/>
      <x:c r="N52" s="50" t="str"/>
      <x:c r="O52" s="50" t="str"/>
      <x:c r="P52" s="50" t="str"/>
      <x:c r="Q52" s="50" t="str"/>
      <x:c r="R52" s="57" t="str">
        <x:f>IF(D52="","",IF(H52&lt;&gt;"有效","不可用：未有效",IF(I52&lt;&gt;"是","不可用：权属",IF(AND(B52="Ⅱ类",L52="是"),"不可用：已用于通过认定","可用"))))</x:f>
      </x:c>
      <x:c r="S52" s="50" t="str"/>
    </x:row>
    <x:row r="53">
      <x:c r="A53" s="49" t="str">
        <x:v>IP49</x:v>
      </x:c>
      <x:c r="B53" s="50" t="str"/>
      <x:c r="C53" s="50" t="str"/>
      <x:c r="D53" s="50" t="str"/>
      <x:c r="E53" s="50" t="str"/>
      <x:c r="F53" s="50" t="str"/>
      <x:c r="G53" s="55"/>
      <x:c r="H53" s="50" t="str"/>
      <x:c r="I53" s="50" t="str"/>
      <x:c r="J53" s="50" t="str"/>
      <x:c r="K53" s="50" t="str">
        <x:v>否</x:v>
      </x:c>
      <x:c r="L53" s="50" t="str">
        <x:v>否</x:v>
      </x:c>
      <x:c r="M53" s="50" t="str"/>
      <x:c r="N53" s="50" t="str"/>
      <x:c r="O53" s="50" t="str"/>
      <x:c r="P53" s="50" t="str"/>
      <x:c r="Q53" s="50" t="str"/>
      <x:c r="R53" s="57" t="str">
        <x:f>IF(D53="","",IF(H53&lt;&gt;"有效","不可用：未有效",IF(I53&lt;&gt;"是","不可用：权属",IF(AND(B53="Ⅱ类",L53="是"),"不可用：已用于通过认定","可用"))))</x:f>
      </x:c>
      <x:c r="S53" s="50" t="str"/>
    </x:row>
    <x:row r="54">
      <x:c r="A54" s="49" t="str">
        <x:v>IP50</x:v>
      </x:c>
      <x:c r="B54" s="50" t="str"/>
      <x:c r="C54" s="50" t="str"/>
      <x:c r="D54" s="50" t="str"/>
      <x:c r="E54" s="50" t="str"/>
      <x:c r="F54" s="50" t="str"/>
      <x:c r="G54" s="55"/>
      <x:c r="H54" s="50" t="str"/>
      <x:c r="I54" s="50" t="str"/>
      <x:c r="J54" s="50" t="str"/>
      <x:c r="K54" s="50" t="str">
        <x:v>否</x:v>
      </x:c>
      <x:c r="L54" s="50" t="str">
        <x:v>否</x:v>
      </x:c>
      <x:c r="M54" s="50" t="str"/>
      <x:c r="N54" s="50" t="str"/>
      <x:c r="O54" s="50" t="str"/>
      <x:c r="P54" s="50" t="str"/>
      <x:c r="Q54" s="50" t="str"/>
      <x:c r="R54" s="57" t="str">
        <x:f>IF(D54="","",IF(H54&lt;&gt;"有效","不可用：未有效",IF(I54&lt;&gt;"是","不可用：权属",IF(AND(B54="Ⅱ类",L54="是"),"不可用：已用于通过认定","可用"))))</x:f>
      </x:c>
      <x:c r="S54" s="50" t="str"/>
    </x:row>
    <x:row r="55">
      <x:c r="A55" s="49" t="str">
        <x:v>IP51</x:v>
      </x:c>
      <x:c r="B55" s="50" t="str"/>
      <x:c r="C55" s="50" t="str"/>
      <x:c r="D55" s="50" t="str"/>
      <x:c r="E55" s="50" t="str"/>
      <x:c r="F55" s="50" t="str"/>
      <x:c r="G55" s="55"/>
      <x:c r="H55" s="50" t="str"/>
      <x:c r="I55" s="50" t="str"/>
      <x:c r="J55" s="50" t="str"/>
      <x:c r="K55" s="50" t="str">
        <x:v>否</x:v>
      </x:c>
      <x:c r="L55" s="50" t="str">
        <x:v>否</x:v>
      </x:c>
      <x:c r="M55" s="50" t="str"/>
      <x:c r="N55" s="50" t="str"/>
      <x:c r="O55" s="50" t="str"/>
      <x:c r="P55" s="50" t="str"/>
      <x:c r="Q55" s="50" t="str"/>
      <x:c r="R55" s="57" t="str">
        <x:f>IF(D55="","",IF(H55&lt;&gt;"有效","不可用：未有效",IF(I55&lt;&gt;"是","不可用：权属",IF(AND(B55="Ⅱ类",L55="是"),"不可用：已用于通过认定","可用"))))</x:f>
      </x:c>
      <x:c r="S55" s="50" t="str"/>
    </x:row>
    <x:row r="56">
      <x:c r="A56" s="49" t="str">
        <x:v>IP52</x:v>
      </x:c>
      <x:c r="B56" s="50" t="str"/>
      <x:c r="C56" s="50" t="str"/>
      <x:c r="D56" s="50" t="str"/>
      <x:c r="E56" s="50" t="str"/>
      <x:c r="F56" s="50" t="str"/>
      <x:c r="G56" s="55"/>
      <x:c r="H56" s="50" t="str"/>
      <x:c r="I56" s="50" t="str"/>
      <x:c r="J56" s="50" t="str"/>
      <x:c r="K56" s="50" t="str">
        <x:v>否</x:v>
      </x:c>
      <x:c r="L56" s="50" t="str">
        <x:v>否</x:v>
      </x:c>
      <x:c r="M56" s="50" t="str"/>
      <x:c r="N56" s="50" t="str"/>
      <x:c r="O56" s="50" t="str"/>
      <x:c r="P56" s="50" t="str"/>
      <x:c r="Q56" s="50" t="str"/>
      <x:c r="R56" s="57" t="str">
        <x:f>IF(D56="","",IF(H56&lt;&gt;"有效","不可用：未有效",IF(I56&lt;&gt;"是","不可用：权属",IF(AND(B56="Ⅱ类",L56="是"),"不可用：已用于通过认定","可用"))))</x:f>
      </x:c>
      <x:c r="S56" s="50" t="str"/>
    </x:row>
    <x:row r="57">
      <x:c r="A57" s="49" t="str">
        <x:v>IP53</x:v>
      </x:c>
      <x:c r="B57" s="50" t="str"/>
      <x:c r="C57" s="50" t="str"/>
      <x:c r="D57" s="50" t="str"/>
      <x:c r="E57" s="50" t="str"/>
      <x:c r="F57" s="50" t="str"/>
      <x:c r="G57" s="55"/>
      <x:c r="H57" s="50" t="str"/>
      <x:c r="I57" s="50" t="str"/>
      <x:c r="J57" s="50" t="str"/>
      <x:c r="K57" s="50" t="str">
        <x:v>否</x:v>
      </x:c>
      <x:c r="L57" s="50" t="str">
        <x:v>否</x:v>
      </x:c>
      <x:c r="M57" s="50" t="str"/>
      <x:c r="N57" s="50" t="str"/>
      <x:c r="O57" s="50" t="str"/>
      <x:c r="P57" s="50" t="str"/>
      <x:c r="Q57" s="50" t="str"/>
      <x:c r="R57" s="57" t="str">
        <x:f>IF(D57="","",IF(H57&lt;&gt;"有效","不可用：未有效",IF(I57&lt;&gt;"是","不可用：权属",IF(AND(B57="Ⅱ类",L57="是"),"不可用：已用于通过认定","可用"))))</x:f>
      </x:c>
      <x:c r="S57" s="50" t="str"/>
    </x:row>
    <x:row r="58">
      <x:c r="A58" s="49" t="str">
        <x:v>IP54</x:v>
      </x:c>
      <x:c r="B58" s="50" t="str"/>
      <x:c r="C58" s="50" t="str"/>
      <x:c r="D58" s="50" t="str"/>
      <x:c r="E58" s="50" t="str"/>
      <x:c r="F58" s="50" t="str"/>
      <x:c r="G58" s="55"/>
      <x:c r="H58" s="50" t="str"/>
      <x:c r="I58" s="50" t="str"/>
      <x:c r="J58" s="50" t="str"/>
      <x:c r="K58" s="50" t="str">
        <x:v>否</x:v>
      </x:c>
      <x:c r="L58" s="50" t="str">
        <x:v>否</x:v>
      </x:c>
      <x:c r="M58" s="50" t="str"/>
      <x:c r="N58" s="50" t="str"/>
      <x:c r="O58" s="50" t="str"/>
      <x:c r="P58" s="50" t="str"/>
      <x:c r="Q58" s="50" t="str"/>
      <x:c r="R58" s="57" t="str">
        <x:f>IF(D58="","",IF(H58&lt;&gt;"有效","不可用：未有效",IF(I58&lt;&gt;"是","不可用：权属",IF(AND(B58="Ⅱ类",L58="是"),"不可用：已用于通过认定","可用"))))</x:f>
      </x:c>
      <x:c r="S58" s="50" t="str"/>
    </x:row>
    <x:row r="59">
      <x:c r="A59" s="49" t="str">
        <x:v>IP55</x:v>
      </x:c>
      <x:c r="B59" s="50" t="str"/>
      <x:c r="C59" s="50" t="str"/>
      <x:c r="D59" s="50" t="str"/>
      <x:c r="E59" s="50" t="str"/>
      <x:c r="F59" s="50" t="str"/>
      <x:c r="G59" s="55"/>
      <x:c r="H59" s="50" t="str"/>
      <x:c r="I59" s="50" t="str"/>
      <x:c r="J59" s="50" t="str"/>
      <x:c r="K59" s="50" t="str">
        <x:v>否</x:v>
      </x:c>
      <x:c r="L59" s="50" t="str">
        <x:v>否</x:v>
      </x:c>
      <x:c r="M59" s="50" t="str"/>
      <x:c r="N59" s="50" t="str"/>
      <x:c r="O59" s="50" t="str"/>
      <x:c r="P59" s="50" t="str"/>
      <x:c r="Q59" s="50" t="str"/>
      <x:c r="R59" s="57" t="str">
        <x:f>IF(D59="","",IF(H59&lt;&gt;"有效","不可用：未有效",IF(I59&lt;&gt;"是","不可用：权属",IF(AND(B59="Ⅱ类",L59="是"),"不可用：已用于通过认定","可用"))))</x:f>
      </x:c>
      <x:c r="S59" s="50" t="str"/>
    </x:row>
    <x:row r="60">
      <x:c r="A60" s="49" t="str">
        <x:v>IP56</x:v>
      </x:c>
      <x:c r="B60" s="50" t="str"/>
      <x:c r="C60" s="50" t="str"/>
      <x:c r="D60" s="50" t="str"/>
      <x:c r="E60" s="50" t="str"/>
      <x:c r="F60" s="50" t="str"/>
      <x:c r="G60" s="55"/>
      <x:c r="H60" s="50" t="str"/>
      <x:c r="I60" s="50" t="str"/>
      <x:c r="J60" s="50" t="str"/>
      <x:c r="K60" s="50" t="str">
        <x:v>否</x:v>
      </x:c>
      <x:c r="L60" s="50" t="str">
        <x:v>否</x:v>
      </x:c>
      <x:c r="M60" s="50" t="str"/>
      <x:c r="N60" s="50" t="str"/>
      <x:c r="O60" s="50" t="str"/>
      <x:c r="P60" s="50" t="str"/>
      <x:c r="Q60" s="50" t="str"/>
      <x:c r="R60" s="57" t="str">
        <x:f>IF(D60="","",IF(H60&lt;&gt;"有效","不可用：未有效",IF(I60&lt;&gt;"是","不可用：权属",IF(AND(B60="Ⅱ类",L60="是"),"不可用：已用于通过认定","可用"))))</x:f>
      </x:c>
      <x:c r="S60" s="50" t="str"/>
    </x:row>
    <x:row r="61">
      <x:c r="A61" s="49" t="str">
        <x:v>IP57</x:v>
      </x:c>
      <x:c r="B61" s="50" t="str"/>
      <x:c r="C61" s="50" t="str"/>
      <x:c r="D61" s="50" t="str"/>
      <x:c r="E61" s="50" t="str"/>
      <x:c r="F61" s="50" t="str"/>
      <x:c r="G61" s="55"/>
      <x:c r="H61" s="50" t="str"/>
      <x:c r="I61" s="50" t="str"/>
      <x:c r="J61" s="50" t="str"/>
      <x:c r="K61" s="50" t="str">
        <x:v>否</x:v>
      </x:c>
      <x:c r="L61" s="50" t="str">
        <x:v>否</x:v>
      </x:c>
      <x:c r="M61" s="50" t="str"/>
      <x:c r="N61" s="50" t="str"/>
      <x:c r="O61" s="50" t="str"/>
      <x:c r="P61" s="50" t="str"/>
      <x:c r="Q61" s="50" t="str"/>
      <x:c r="R61" s="57" t="str">
        <x:f>IF(D61="","",IF(H61&lt;&gt;"有效","不可用：未有效",IF(I61&lt;&gt;"是","不可用：权属",IF(AND(B61="Ⅱ类",L61="是"),"不可用：已用于通过认定","可用"))))</x:f>
      </x:c>
      <x:c r="S61" s="50" t="str"/>
    </x:row>
    <x:row r="62">
      <x:c r="A62" s="49" t="str">
        <x:v>IP58</x:v>
      </x:c>
      <x:c r="B62" s="50" t="str"/>
      <x:c r="C62" s="50" t="str"/>
      <x:c r="D62" s="50" t="str"/>
      <x:c r="E62" s="50" t="str"/>
      <x:c r="F62" s="50" t="str"/>
      <x:c r="G62" s="55"/>
      <x:c r="H62" s="50" t="str"/>
      <x:c r="I62" s="50" t="str"/>
      <x:c r="J62" s="50" t="str"/>
      <x:c r="K62" s="50" t="str">
        <x:v>否</x:v>
      </x:c>
      <x:c r="L62" s="50" t="str">
        <x:v>否</x:v>
      </x:c>
      <x:c r="M62" s="50" t="str"/>
      <x:c r="N62" s="50" t="str"/>
      <x:c r="O62" s="50" t="str"/>
      <x:c r="P62" s="50" t="str"/>
      <x:c r="Q62" s="50" t="str"/>
      <x:c r="R62" s="57" t="str">
        <x:f>IF(D62="","",IF(H62&lt;&gt;"有效","不可用：未有效",IF(I62&lt;&gt;"是","不可用：权属",IF(AND(B62="Ⅱ类",L62="是"),"不可用：已用于通过认定","可用"))))</x:f>
      </x:c>
      <x:c r="S62" s="50" t="str"/>
    </x:row>
    <x:row r="63">
      <x:c r="A63" s="49" t="str">
        <x:v>IP59</x:v>
      </x:c>
      <x:c r="B63" s="50" t="str"/>
      <x:c r="C63" s="50" t="str"/>
      <x:c r="D63" s="50" t="str"/>
      <x:c r="E63" s="50" t="str"/>
      <x:c r="F63" s="50" t="str"/>
      <x:c r="G63" s="55"/>
      <x:c r="H63" s="50" t="str"/>
      <x:c r="I63" s="50" t="str"/>
      <x:c r="J63" s="50" t="str"/>
      <x:c r="K63" s="50" t="str">
        <x:v>否</x:v>
      </x:c>
      <x:c r="L63" s="50" t="str">
        <x:v>否</x:v>
      </x:c>
      <x:c r="M63" s="50" t="str"/>
      <x:c r="N63" s="50" t="str"/>
      <x:c r="O63" s="50" t="str"/>
      <x:c r="P63" s="50" t="str"/>
      <x:c r="Q63" s="50" t="str"/>
      <x:c r="R63" s="57" t="str">
        <x:f>IF(D63="","",IF(H63&lt;&gt;"有效","不可用：未有效",IF(I63&lt;&gt;"是","不可用：权属",IF(AND(B63="Ⅱ类",L63="是"),"不可用：已用于通过认定","可用"))))</x:f>
      </x:c>
      <x:c r="S63" s="50" t="str"/>
    </x:row>
    <x:row r="64">
      <x:c r="A64" s="49" t="str">
        <x:v>IP60</x:v>
      </x:c>
      <x:c r="B64" s="50" t="str"/>
      <x:c r="C64" s="50" t="str"/>
      <x:c r="D64" s="50" t="str"/>
      <x:c r="E64" s="50" t="str"/>
      <x:c r="F64" s="50" t="str"/>
      <x:c r="G64" s="55"/>
      <x:c r="H64" s="50" t="str"/>
      <x:c r="I64" s="50" t="str"/>
      <x:c r="J64" s="50" t="str"/>
      <x:c r="K64" s="50" t="str">
        <x:v>否</x:v>
      </x:c>
      <x:c r="L64" s="50" t="str">
        <x:v>否</x:v>
      </x:c>
      <x:c r="M64" s="50" t="str"/>
      <x:c r="N64" s="50" t="str"/>
      <x:c r="O64" s="50" t="str"/>
      <x:c r="P64" s="50" t="str"/>
      <x:c r="Q64" s="50" t="str"/>
      <x:c r="R64" s="57" t="str">
        <x:f>IF(D64="","",IF(H64&lt;&gt;"有效","不可用：未有效",IF(I64&lt;&gt;"是","不可用：权属",IF(AND(B64="Ⅱ类",L64="是"),"不可用：已用于通过认定","可用"))))</x:f>
      </x:c>
      <x:c r="S64" s="50" t="str"/>
    </x:row>
    <x:row r="65">
      <x:c r="A65" s="49" t="str">
        <x:v>IP61</x:v>
      </x:c>
      <x:c r="B65" s="50" t="str"/>
      <x:c r="C65" s="50" t="str"/>
      <x:c r="D65" s="50" t="str"/>
      <x:c r="E65" s="50" t="str"/>
      <x:c r="F65" s="50" t="str"/>
      <x:c r="G65" s="55"/>
      <x:c r="H65" s="50" t="str"/>
      <x:c r="I65" s="50" t="str"/>
      <x:c r="J65" s="50" t="str"/>
      <x:c r="K65" s="50" t="str">
        <x:v>否</x:v>
      </x:c>
      <x:c r="L65" s="50" t="str">
        <x:v>否</x:v>
      </x:c>
      <x:c r="M65" s="50" t="str"/>
      <x:c r="N65" s="50" t="str"/>
      <x:c r="O65" s="50" t="str"/>
      <x:c r="P65" s="50" t="str"/>
      <x:c r="Q65" s="50" t="str"/>
      <x:c r="R65" s="57" t="str">
        <x:f>IF(D65="","",IF(H65&lt;&gt;"有效","不可用：未有效",IF(I65&lt;&gt;"是","不可用：权属",IF(AND(B65="Ⅱ类",L65="是"),"不可用：已用于通过认定","可用"))))</x:f>
      </x:c>
      <x:c r="S65" s="50" t="str"/>
    </x:row>
    <x:row r="66">
      <x:c r="A66" s="49" t="str">
        <x:v>IP62</x:v>
      </x:c>
      <x:c r="B66" s="50" t="str"/>
      <x:c r="C66" s="50" t="str"/>
      <x:c r="D66" s="50" t="str"/>
      <x:c r="E66" s="50" t="str"/>
      <x:c r="F66" s="50" t="str"/>
      <x:c r="G66" s="55"/>
      <x:c r="H66" s="50" t="str"/>
      <x:c r="I66" s="50" t="str"/>
      <x:c r="J66" s="50" t="str"/>
      <x:c r="K66" s="50" t="str">
        <x:v>否</x:v>
      </x:c>
      <x:c r="L66" s="50" t="str">
        <x:v>否</x:v>
      </x:c>
      <x:c r="M66" s="50" t="str"/>
      <x:c r="N66" s="50" t="str"/>
      <x:c r="O66" s="50" t="str"/>
      <x:c r="P66" s="50" t="str"/>
      <x:c r="Q66" s="50" t="str"/>
      <x:c r="R66" s="57" t="str">
        <x:f>IF(D66="","",IF(H66&lt;&gt;"有效","不可用：未有效",IF(I66&lt;&gt;"是","不可用：权属",IF(AND(B66="Ⅱ类",L66="是"),"不可用：已用于通过认定","可用"))))</x:f>
      </x:c>
      <x:c r="S66" s="50" t="str"/>
    </x:row>
    <x:row r="67">
      <x:c r="A67" s="49" t="str">
        <x:v>IP63</x:v>
      </x:c>
      <x:c r="B67" s="50" t="str"/>
      <x:c r="C67" s="50" t="str"/>
      <x:c r="D67" s="50" t="str"/>
      <x:c r="E67" s="50" t="str"/>
      <x:c r="F67" s="50" t="str"/>
      <x:c r="G67" s="55"/>
      <x:c r="H67" s="50" t="str"/>
      <x:c r="I67" s="50" t="str"/>
      <x:c r="J67" s="50" t="str"/>
      <x:c r="K67" s="50" t="str">
        <x:v>否</x:v>
      </x:c>
      <x:c r="L67" s="50" t="str">
        <x:v>否</x:v>
      </x:c>
      <x:c r="M67" s="50" t="str"/>
      <x:c r="N67" s="50" t="str"/>
      <x:c r="O67" s="50" t="str"/>
      <x:c r="P67" s="50" t="str"/>
      <x:c r="Q67" s="50" t="str"/>
      <x:c r="R67" s="57" t="str">
        <x:f>IF(D67="","",IF(H67&lt;&gt;"有效","不可用：未有效",IF(I67&lt;&gt;"是","不可用：权属",IF(AND(B67="Ⅱ类",L67="是"),"不可用：已用于通过认定","可用"))))</x:f>
      </x:c>
      <x:c r="S67" s="50" t="str"/>
    </x:row>
    <x:row r="68">
      <x:c r="A68" s="49" t="str">
        <x:v>IP64</x:v>
      </x:c>
      <x:c r="B68" s="50" t="str"/>
      <x:c r="C68" s="50" t="str"/>
      <x:c r="D68" s="50" t="str"/>
      <x:c r="E68" s="50" t="str"/>
      <x:c r="F68" s="50" t="str"/>
      <x:c r="G68" s="55"/>
      <x:c r="H68" s="50" t="str"/>
      <x:c r="I68" s="50" t="str"/>
      <x:c r="J68" s="50" t="str"/>
      <x:c r="K68" s="50" t="str">
        <x:v>否</x:v>
      </x:c>
      <x:c r="L68" s="50" t="str">
        <x:v>否</x:v>
      </x:c>
      <x:c r="M68" s="50" t="str"/>
      <x:c r="N68" s="50" t="str"/>
      <x:c r="O68" s="50" t="str"/>
      <x:c r="P68" s="50" t="str"/>
      <x:c r="Q68" s="50" t="str"/>
      <x:c r="R68" s="57" t="str">
        <x:f>IF(D68="","",IF(H68&lt;&gt;"有效","不可用：未有效",IF(I68&lt;&gt;"是","不可用：权属",IF(AND(B68="Ⅱ类",L68="是"),"不可用：已用于通过认定","可用"))))</x:f>
      </x:c>
      <x:c r="S68" s="50" t="str"/>
    </x:row>
    <x:row r="69">
      <x:c r="A69" s="49" t="str">
        <x:v>IP65</x:v>
      </x:c>
      <x:c r="B69" s="50" t="str"/>
      <x:c r="C69" s="50" t="str"/>
      <x:c r="D69" s="50" t="str"/>
      <x:c r="E69" s="50" t="str"/>
      <x:c r="F69" s="50" t="str"/>
      <x:c r="G69" s="55"/>
      <x:c r="H69" s="50" t="str"/>
      <x:c r="I69" s="50" t="str"/>
      <x:c r="J69" s="50" t="str"/>
      <x:c r="K69" s="50" t="str">
        <x:v>否</x:v>
      </x:c>
      <x:c r="L69" s="50" t="str">
        <x:v>否</x:v>
      </x:c>
      <x:c r="M69" s="50" t="str"/>
      <x:c r="N69" s="50" t="str"/>
      <x:c r="O69" s="50" t="str"/>
      <x:c r="P69" s="50" t="str"/>
      <x:c r="Q69" s="50" t="str"/>
      <x:c r="R69" s="57" t="str">
        <x:f>IF(D69="","",IF(H69&lt;&gt;"有效","不可用：未有效",IF(I69&lt;&gt;"是","不可用：权属",IF(AND(B69="Ⅱ类",L69="是"),"不可用：已用于通过认定","可用"))))</x:f>
      </x:c>
      <x:c r="S69" s="50" t="str"/>
    </x:row>
    <x:row r="70">
      <x:c r="A70" s="49" t="str">
        <x:v>IP66</x:v>
      </x:c>
      <x:c r="B70" s="50" t="str"/>
      <x:c r="C70" s="50" t="str"/>
      <x:c r="D70" s="50" t="str"/>
      <x:c r="E70" s="50" t="str"/>
      <x:c r="F70" s="50" t="str"/>
      <x:c r="G70" s="55"/>
      <x:c r="H70" s="50" t="str"/>
      <x:c r="I70" s="50" t="str"/>
      <x:c r="J70" s="50" t="str"/>
      <x:c r="K70" s="50" t="str">
        <x:v>否</x:v>
      </x:c>
      <x:c r="L70" s="50" t="str">
        <x:v>否</x:v>
      </x:c>
      <x:c r="M70" s="50" t="str"/>
      <x:c r="N70" s="50" t="str"/>
      <x:c r="O70" s="50" t="str"/>
      <x:c r="P70" s="50" t="str"/>
      <x:c r="Q70" s="50" t="str"/>
      <x:c r="R70" s="57" t="str">
        <x:f>IF(D70="","",IF(H70&lt;&gt;"有效","不可用：未有效",IF(I70&lt;&gt;"是","不可用：权属",IF(AND(B70="Ⅱ类",L70="是"),"不可用：已用于通过认定","可用"))))</x:f>
      </x:c>
      <x:c r="S70" s="50" t="str"/>
    </x:row>
    <x:row r="71">
      <x:c r="A71" s="49" t="str">
        <x:v>IP67</x:v>
      </x:c>
      <x:c r="B71" s="50" t="str"/>
      <x:c r="C71" s="50" t="str"/>
      <x:c r="D71" s="50" t="str"/>
      <x:c r="E71" s="50" t="str"/>
      <x:c r="F71" s="50" t="str"/>
      <x:c r="G71" s="55"/>
      <x:c r="H71" s="50" t="str"/>
      <x:c r="I71" s="50" t="str"/>
      <x:c r="J71" s="50" t="str"/>
      <x:c r="K71" s="50" t="str">
        <x:v>否</x:v>
      </x:c>
      <x:c r="L71" s="50" t="str">
        <x:v>否</x:v>
      </x:c>
      <x:c r="M71" s="50" t="str"/>
      <x:c r="N71" s="50" t="str"/>
      <x:c r="O71" s="50" t="str"/>
      <x:c r="P71" s="50" t="str"/>
      <x:c r="Q71" s="50" t="str"/>
      <x:c r="R71" s="57" t="str">
        <x:f>IF(D71="","",IF(H71&lt;&gt;"有效","不可用：未有效",IF(I71&lt;&gt;"是","不可用：权属",IF(AND(B71="Ⅱ类",L71="是"),"不可用：已用于通过认定","可用"))))</x:f>
      </x:c>
      <x:c r="S71" s="50" t="str"/>
    </x:row>
    <x:row r="72">
      <x:c r="A72" s="49" t="str">
        <x:v>IP68</x:v>
      </x:c>
      <x:c r="B72" s="50" t="str"/>
      <x:c r="C72" s="50" t="str"/>
      <x:c r="D72" s="50" t="str"/>
      <x:c r="E72" s="50" t="str"/>
      <x:c r="F72" s="50" t="str"/>
      <x:c r="G72" s="55"/>
      <x:c r="H72" s="50" t="str"/>
      <x:c r="I72" s="50" t="str"/>
      <x:c r="J72" s="50" t="str"/>
      <x:c r="K72" s="50" t="str">
        <x:v>否</x:v>
      </x:c>
      <x:c r="L72" s="50" t="str">
        <x:v>否</x:v>
      </x:c>
      <x:c r="M72" s="50" t="str"/>
      <x:c r="N72" s="50" t="str"/>
      <x:c r="O72" s="50" t="str"/>
      <x:c r="P72" s="50" t="str"/>
      <x:c r="Q72" s="50" t="str"/>
      <x:c r="R72" s="57" t="str">
        <x:f>IF(D72="","",IF(H72&lt;&gt;"有效","不可用：未有效",IF(I72&lt;&gt;"是","不可用：权属",IF(AND(B72="Ⅱ类",L72="是"),"不可用：已用于通过认定","可用"))))</x:f>
      </x:c>
      <x:c r="S72" s="50" t="str"/>
    </x:row>
    <x:row r="73">
      <x:c r="A73" s="49" t="str">
        <x:v>IP69</x:v>
      </x:c>
      <x:c r="B73" s="50" t="str"/>
      <x:c r="C73" s="50" t="str"/>
      <x:c r="D73" s="50" t="str"/>
      <x:c r="E73" s="50" t="str"/>
      <x:c r="F73" s="50" t="str"/>
      <x:c r="G73" s="55"/>
      <x:c r="H73" s="50" t="str"/>
      <x:c r="I73" s="50" t="str"/>
      <x:c r="J73" s="50" t="str"/>
      <x:c r="K73" s="50" t="str">
        <x:v>否</x:v>
      </x:c>
      <x:c r="L73" s="50" t="str">
        <x:v>否</x:v>
      </x:c>
      <x:c r="M73" s="50" t="str"/>
      <x:c r="N73" s="50" t="str"/>
      <x:c r="O73" s="50" t="str"/>
      <x:c r="P73" s="50" t="str"/>
      <x:c r="Q73" s="50" t="str"/>
      <x:c r="R73" s="57" t="str">
        <x:f>IF(D73="","",IF(H73&lt;&gt;"有效","不可用：未有效",IF(I73&lt;&gt;"是","不可用：权属",IF(AND(B73="Ⅱ类",L73="是"),"不可用：已用于通过认定","可用"))))</x:f>
      </x:c>
      <x:c r="S73" s="50" t="str"/>
    </x:row>
    <x:row r="74">
      <x:c r="A74" s="49" t="str">
        <x:v>IP70</x:v>
      </x:c>
      <x:c r="B74" s="50" t="str"/>
      <x:c r="C74" s="50" t="str"/>
      <x:c r="D74" s="50" t="str"/>
      <x:c r="E74" s="50" t="str"/>
      <x:c r="F74" s="50" t="str"/>
      <x:c r="G74" s="55"/>
      <x:c r="H74" s="50" t="str"/>
      <x:c r="I74" s="50" t="str"/>
      <x:c r="J74" s="50" t="str"/>
      <x:c r="K74" s="50" t="str">
        <x:v>否</x:v>
      </x:c>
      <x:c r="L74" s="50" t="str">
        <x:v>否</x:v>
      </x:c>
      <x:c r="M74" s="50" t="str"/>
      <x:c r="N74" s="50" t="str"/>
      <x:c r="O74" s="50" t="str"/>
      <x:c r="P74" s="50" t="str"/>
      <x:c r="Q74" s="50" t="str"/>
      <x:c r="R74" s="57" t="str">
        <x:f>IF(D74="","",IF(H74&lt;&gt;"有效","不可用：未有效",IF(I74&lt;&gt;"是","不可用：权属",IF(AND(B74="Ⅱ类",L74="是"),"不可用：已用于通过认定","可用"))))</x:f>
      </x:c>
      <x:c r="S74" s="50" t="str"/>
    </x:row>
    <x:row r="75">
      <x:c r="A75" s="49" t="str">
        <x:v>IP71</x:v>
      </x:c>
      <x:c r="B75" s="50" t="str"/>
      <x:c r="C75" s="50" t="str"/>
      <x:c r="D75" s="50" t="str"/>
      <x:c r="E75" s="50" t="str"/>
      <x:c r="F75" s="50" t="str"/>
      <x:c r="G75" s="55"/>
      <x:c r="H75" s="50" t="str"/>
      <x:c r="I75" s="50" t="str"/>
      <x:c r="J75" s="50" t="str"/>
      <x:c r="K75" s="50" t="str">
        <x:v>否</x:v>
      </x:c>
      <x:c r="L75" s="50" t="str">
        <x:v>否</x:v>
      </x:c>
      <x:c r="M75" s="50" t="str"/>
      <x:c r="N75" s="50" t="str"/>
      <x:c r="O75" s="50" t="str"/>
      <x:c r="P75" s="50" t="str"/>
      <x:c r="Q75" s="50" t="str"/>
      <x:c r="R75" s="57" t="str">
        <x:f>IF(D75="","",IF(H75&lt;&gt;"有效","不可用：未有效",IF(I75&lt;&gt;"是","不可用：权属",IF(AND(B75="Ⅱ类",L75="是"),"不可用：已用于通过认定","可用"))))</x:f>
      </x:c>
      <x:c r="S75" s="50" t="str"/>
    </x:row>
    <x:row r="76">
      <x:c r="A76" s="49" t="str">
        <x:v>IP72</x:v>
      </x:c>
      <x:c r="B76" s="50" t="str"/>
      <x:c r="C76" s="50" t="str"/>
      <x:c r="D76" s="50" t="str"/>
      <x:c r="E76" s="50" t="str"/>
      <x:c r="F76" s="50" t="str"/>
      <x:c r="G76" s="55"/>
      <x:c r="H76" s="50" t="str"/>
      <x:c r="I76" s="50" t="str"/>
      <x:c r="J76" s="50" t="str"/>
      <x:c r="K76" s="50" t="str">
        <x:v>否</x:v>
      </x:c>
      <x:c r="L76" s="50" t="str">
        <x:v>否</x:v>
      </x:c>
      <x:c r="M76" s="50" t="str"/>
      <x:c r="N76" s="50" t="str"/>
      <x:c r="O76" s="50" t="str"/>
      <x:c r="P76" s="50" t="str"/>
      <x:c r="Q76" s="50" t="str"/>
      <x:c r="R76" s="57" t="str">
        <x:f>IF(D76="","",IF(H76&lt;&gt;"有效","不可用：未有效",IF(I76&lt;&gt;"是","不可用：权属",IF(AND(B76="Ⅱ类",L76="是"),"不可用：已用于通过认定","可用"))))</x:f>
      </x:c>
      <x:c r="S76" s="50" t="str"/>
    </x:row>
    <x:row r="77">
      <x:c r="A77" s="49" t="str">
        <x:v>IP73</x:v>
      </x:c>
      <x:c r="B77" s="50" t="str"/>
      <x:c r="C77" s="50" t="str"/>
      <x:c r="D77" s="50" t="str"/>
      <x:c r="E77" s="50" t="str"/>
      <x:c r="F77" s="50" t="str"/>
      <x:c r="G77" s="55"/>
      <x:c r="H77" s="50" t="str"/>
      <x:c r="I77" s="50" t="str"/>
      <x:c r="J77" s="50" t="str"/>
      <x:c r="K77" s="50" t="str">
        <x:v>否</x:v>
      </x:c>
      <x:c r="L77" s="50" t="str">
        <x:v>否</x:v>
      </x:c>
      <x:c r="M77" s="50" t="str"/>
      <x:c r="N77" s="50" t="str"/>
      <x:c r="O77" s="50" t="str"/>
      <x:c r="P77" s="50" t="str"/>
      <x:c r="Q77" s="50" t="str"/>
      <x:c r="R77" s="57" t="str">
        <x:f>IF(D77="","",IF(H77&lt;&gt;"有效","不可用：未有效",IF(I77&lt;&gt;"是","不可用：权属",IF(AND(B77="Ⅱ类",L77="是"),"不可用：已用于通过认定","可用"))))</x:f>
      </x:c>
      <x:c r="S77" s="50" t="str"/>
    </x:row>
    <x:row r="78">
      <x:c r="A78" s="49" t="str">
        <x:v>IP74</x:v>
      </x:c>
      <x:c r="B78" s="50" t="str"/>
      <x:c r="C78" s="50" t="str"/>
      <x:c r="D78" s="50" t="str"/>
      <x:c r="E78" s="50" t="str"/>
      <x:c r="F78" s="50" t="str"/>
      <x:c r="G78" s="55"/>
      <x:c r="H78" s="50" t="str"/>
      <x:c r="I78" s="50" t="str"/>
      <x:c r="J78" s="50" t="str"/>
      <x:c r="K78" s="50" t="str">
        <x:v>否</x:v>
      </x:c>
      <x:c r="L78" s="50" t="str">
        <x:v>否</x:v>
      </x:c>
      <x:c r="M78" s="50" t="str"/>
      <x:c r="N78" s="50" t="str"/>
      <x:c r="O78" s="50" t="str"/>
      <x:c r="P78" s="50" t="str"/>
      <x:c r="Q78" s="50" t="str"/>
      <x:c r="R78" s="57" t="str">
        <x:f>IF(D78="","",IF(H78&lt;&gt;"有效","不可用：未有效",IF(I78&lt;&gt;"是","不可用：权属",IF(AND(B78="Ⅱ类",L78="是"),"不可用：已用于通过认定","可用"))))</x:f>
      </x:c>
      <x:c r="S78" s="50" t="str"/>
    </x:row>
    <x:row r="79">
      <x:c r="A79" s="49" t="str">
        <x:v>IP75</x:v>
      </x:c>
      <x:c r="B79" s="50" t="str"/>
      <x:c r="C79" s="50" t="str"/>
      <x:c r="D79" s="50" t="str"/>
      <x:c r="E79" s="50" t="str"/>
      <x:c r="F79" s="50" t="str"/>
      <x:c r="G79" s="55"/>
      <x:c r="H79" s="50" t="str"/>
      <x:c r="I79" s="50" t="str"/>
      <x:c r="J79" s="50" t="str"/>
      <x:c r="K79" s="50" t="str">
        <x:v>否</x:v>
      </x:c>
      <x:c r="L79" s="50" t="str">
        <x:v>否</x:v>
      </x:c>
      <x:c r="M79" s="50" t="str"/>
      <x:c r="N79" s="50" t="str"/>
      <x:c r="O79" s="50" t="str"/>
      <x:c r="P79" s="50" t="str"/>
      <x:c r="Q79" s="50" t="str"/>
      <x:c r="R79" s="57" t="str">
        <x:f>IF(D79="","",IF(H79&lt;&gt;"有效","不可用：未有效",IF(I79&lt;&gt;"是","不可用：权属",IF(AND(B79="Ⅱ类",L79="是"),"不可用：已用于通过认定","可用"))))</x:f>
      </x:c>
      <x:c r="S79" s="50" t="str"/>
    </x:row>
    <x:row r="80">
      <x:c r="A80" s="49" t="str">
        <x:v>IP76</x:v>
      </x:c>
      <x:c r="B80" s="50" t="str"/>
      <x:c r="C80" s="50" t="str"/>
      <x:c r="D80" s="50" t="str"/>
      <x:c r="E80" s="50" t="str"/>
      <x:c r="F80" s="50" t="str"/>
      <x:c r="G80" s="55"/>
      <x:c r="H80" s="50" t="str"/>
      <x:c r="I80" s="50" t="str"/>
      <x:c r="J80" s="50" t="str"/>
      <x:c r="K80" s="50" t="str">
        <x:v>否</x:v>
      </x:c>
      <x:c r="L80" s="50" t="str">
        <x:v>否</x:v>
      </x:c>
      <x:c r="M80" s="50" t="str"/>
      <x:c r="N80" s="50" t="str"/>
      <x:c r="O80" s="50" t="str"/>
      <x:c r="P80" s="50" t="str"/>
      <x:c r="Q80" s="50" t="str"/>
      <x:c r="R80" s="57" t="str">
        <x:f>IF(D80="","",IF(H80&lt;&gt;"有效","不可用：未有效",IF(I80&lt;&gt;"是","不可用：权属",IF(AND(B80="Ⅱ类",L80="是"),"不可用：已用于通过认定","可用"))))</x:f>
      </x:c>
      <x:c r="S80" s="50" t="str"/>
    </x:row>
    <x:row r="81">
      <x:c r="A81" s="49" t="str">
        <x:v>IP77</x:v>
      </x:c>
      <x:c r="B81" s="50" t="str"/>
      <x:c r="C81" s="50" t="str"/>
      <x:c r="D81" s="50" t="str"/>
      <x:c r="E81" s="50" t="str"/>
      <x:c r="F81" s="50" t="str"/>
      <x:c r="G81" s="55"/>
      <x:c r="H81" s="50" t="str"/>
      <x:c r="I81" s="50" t="str"/>
      <x:c r="J81" s="50" t="str"/>
      <x:c r="K81" s="50" t="str">
        <x:v>否</x:v>
      </x:c>
      <x:c r="L81" s="50" t="str">
        <x:v>否</x:v>
      </x:c>
      <x:c r="M81" s="50" t="str"/>
      <x:c r="N81" s="50" t="str"/>
      <x:c r="O81" s="50" t="str"/>
      <x:c r="P81" s="50" t="str"/>
      <x:c r="Q81" s="50" t="str"/>
      <x:c r="R81" s="57" t="str">
        <x:f>IF(D81="","",IF(H81&lt;&gt;"有效","不可用：未有效",IF(I81&lt;&gt;"是","不可用：权属",IF(AND(B81="Ⅱ类",L81="是"),"不可用：已用于通过认定","可用"))))</x:f>
      </x:c>
      <x:c r="S81" s="50" t="str"/>
    </x:row>
    <x:row r="82">
      <x:c r="A82" s="49" t="str">
        <x:v>IP78</x:v>
      </x:c>
      <x:c r="B82" s="50" t="str"/>
      <x:c r="C82" s="50" t="str"/>
      <x:c r="D82" s="50" t="str"/>
      <x:c r="E82" s="50" t="str"/>
      <x:c r="F82" s="50" t="str"/>
      <x:c r="G82" s="55"/>
      <x:c r="H82" s="50" t="str"/>
      <x:c r="I82" s="50" t="str"/>
      <x:c r="J82" s="50" t="str"/>
      <x:c r="K82" s="50" t="str">
        <x:v>否</x:v>
      </x:c>
      <x:c r="L82" s="50" t="str">
        <x:v>否</x:v>
      </x:c>
      <x:c r="M82" s="50" t="str"/>
      <x:c r="N82" s="50" t="str"/>
      <x:c r="O82" s="50" t="str"/>
      <x:c r="P82" s="50" t="str"/>
      <x:c r="Q82" s="50" t="str"/>
      <x:c r="R82" s="57" t="str">
        <x:f>IF(D82="","",IF(H82&lt;&gt;"有效","不可用：未有效",IF(I82&lt;&gt;"是","不可用：权属",IF(AND(B82="Ⅱ类",L82="是"),"不可用：已用于通过认定","可用"))))</x:f>
      </x:c>
      <x:c r="S82" s="50" t="str"/>
    </x:row>
    <x:row r="83">
      <x:c r="A83" s="49" t="str">
        <x:v>IP79</x:v>
      </x:c>
      <x:c r="B83" s="50" t="str"/>
      <x:c r="C83" s="50" t="str"/>
      <x:c r="D83" s="50" t="str"/>
      <x:c r="E83" s="50" t="str"/>
      <x:c r="F83" s="50" t="str"/>
      <x:c r="G83" s="55"/>
      <x:c r="H83" s="50" t="str"/>
      <x:c r="I83" s="50" t="str"/>
      <x:c r="J83" s="50" t="str"/>
      <x:c r="K83" s="50" t="str">
        <x:v>否</x:v>
      </x:c>
      <x:c r="L83" s="50" t="str">
        <x:v>否</x:v>
      </x:c>
      <x:c r="M83" s="50" t="str"/>
      <x:c r="N83" s="50" t="str"/>
      <x:c r="O83" s="50" t="str"/>
      <x:c r="P83" s="50" t="str"/>
      <x:c r="Q83" s="50" t="str"/>
      <x:c r="R83" s="57" t="str">
        <x:f>IF(D83="","",IF(H83&lt;&gt;"有效","不可用：未有效",IF(I83&lt;&gt;"是","不可用：权属",IF(AND(B83="Ⅱ类",L83="是"),"不可用：已用于通过认定","可用"))))</x:f>
      </x:c>
      <x:c r="S83" s="50" t="str"/>
    </x:row>
    <x:row r="84">
      <x:c r="A84" s="49" t="str">
        <x:v>IP80</x:v>
      </x:c>
      <x:c r="B84" s="50" t="str"/>
      <x:c r="C84" s="50" t="str"/>
      <x:c r="D84" s="50" t="str"/>
      <x:c r="E84" s="50" t="str"/>
      <x:c r="F84" s="50" t="str"/>
      <x:c r="G84" s="55"/>
      <x:c r="H84" s="50" t="str"/>
      <x:c r="I84" s="50" t="str"/>
      <x:c r="J84" s="50" t="str"/>
      <x:c r="K84" s="50" t="str">
        <x:v>否</x:v>
      </x:c>
      <x:c r="L84" s="50" t="str">
        <x:v>否</x:v>
      </x:c>
      <x:c r="M84" s="50" t="str"/>
      <x:c r="N84" s="50" t="str"/>
      <x:c r="O84" s="50" t="str"/>
      <x:c r="P84" s="50" t="str"/>
      <x:c r="Q84" s="50" t="str"/>
      <x:c r="R84" s="57" t="str">
        <x:f>IF(D84="","",IF(H84&lt;&gt;"有效","不可用：未有效",IF(I84&lt;&gt;"是","不可用：权属",IF(AND(B84="Ⅱ类",L84="是"),"不可用：已用于通过认定","可用"))))</x:f>
      </x:c>
      <x:c r="S84" s="50" t="str"/>
    </x:row>
    <x:row r="85">
      <x:c r="A85" s="49" t="str">
        <x:v>IP81</x:v>
      </x:c>
      <x:c r="B85" s="50" t="str"/>
      <x:c r="C85" s="50" t="str"/>
      <x:c r="D85" s="50" t="str"/>
      <x:c r="E85" s="50" t="str"/>
      <x:c r="F85" s="50" t="str"/>
      <x:c r="G85" s="55"/>
      <x:c r="H85" s="50" t="str"/>
      <x:c r="I85" s="50" t="str"/>
      <x:c r="J85" s="50" t="str"/>
      <x:c r="K85" s="50" t="str">
        <x:v>否</x:v>
      </x:c>
      <x:c r="L85" s="50" t="str">
        <x:v>否</x:v>
      </x:c>
      <x:c r="M85" s="50" t="str"/>
      <x:c r="N85" s="50" t="str"/>
      <x:c r="O85" s="50" t="str"/>
      <x:c r="P85" s="50" t="str"/>
      <x:c r="Q85" s="50" t="str"/>
      <x:c r="R85" s="57" t="str">
        <x:f>IF(D85="","",IF(H85&lt;&gt;"有效","不可用：未有效",IF(I85&lt;&gt;"是","不可用：权属",IF(AND(B85="Ⅱ类",L85="是"),"不可用：已用于通过认定","可用"))))</x:f>
      </x:c>
      <x:c r="S85" s="50" t="str"/>
    </x:row>
    <x:row r="86">
      <x:c r="A86" s="49" t="str">
        <x:v>IP82</x:v>
      </x:c>
      <x:c r="B86" s="50" t="str"/>
      <x:c r="C86" s="50" t="str"/>
      <x:c r="D86" s="50" t="str"/>
      <x:c r="E86" s="50" t="str"/>
      <x:c r="F86" s="50" t="str"/>
      <x:c r="G86" s="55"/>
      <x:c r="H86" s="50" t="str"/>
      <x:c r="I86" s="50" t="str"/>
      <x:c r="J86" s="50" t="str"/>
      <x:c r="K86" s="50" t="str">
        <x:v>否</x:v>
      </x:c>
      <x:c r="L86" s="50" t="str">
        <x:v>否</x:v>
      </x:c>
      <x:c r="M86" s="50" t="str"/>
      <x:c r="N86" s="50" t="str"/>
      <x:c r="O86" s="50" t="str"/>
      <x:c r="P86" s="50" t="str"/>
      <x:c r="Q86" s="50" t="str"/>
      <x:c r="R86" s="57" t="str">
        <x:f>IF(D86="","",IF(H86&lt;&gt;"有效","不可用：未有效",IF(I86&lt;&gt;"是","不可用：权属",IF(AND(B86="Ⅱ类",L86="是"),"不可用：已用于通过认定","可用"))))</x:f>
      </x:c>
      <x:c r="S86" s="50" t="str"/>
    </x:row>
    <x:row r="87">
      <x:c r="A87" s="49" t="str">
        <x:v>IP83</x:v>
      </x:c>
      <x:c r="B87" s="50" t="str"/>
      <x:c r="C87" s="50" t="str"/>
      <x:c r="D87" s="50" t="str"/>
      <x:c r="E87" s="50" t="str"/>
      <x:c r="F87" s="50" t="str"/>
      <x:c r="G87" s="55"/>
      <x:c r="H87" s="50" t="str"/>
      <x:c r="I87" s="50" t="str"/>
      <x:c r="J87" s="50" t="str"/>
      <x:c r="K87" s="50" t="str">
        <x:v>否</x:v>
      </x:c>
      <x:c r="L87" s="50" t="str">
        <x:v>否</x:v>
      </x:c>
      <x:c r="M87" s="50" t="str"/>
      <x:c r="N87" s="50" t="str"/>
      <x:c r="O87" s="50" t="str"/>
      <x:c r="P87" s="50" t="str"/>
      <x:c r="Q87" s="50" t="str"/>
      <x:c r="R87" s="57" t="str">
        <x:f>IF(D87="","",IF(H87&lt;&gt;"有效","不可用：未有效",IF(I87&lt;&gt;"是","不可用：权属",IF(AND(B87="Ⅱ类",L87="是"),"不可用：已用于通过认定","可用"))))</x:f>
      </x:c>
      <x:c r="S87" s="50" t="str"/>
    </x:row>
    <x:row r="88">
      <x:c r="A88" s="49" t="str">
        <x:v>IP84</x:v>
      </x:c>
      <x:c r="B88" s="50" t="str"/>
      <x:c r="C88" s="50" t="str"/>
      <x:c r="D88" s="50" t="str"/>
      <x:c r="E88" s="50" t="str"/>
      <x:c r="F88" s="50" t="str"/>
      <x:c r="G88" s="55"/>
      <x:c r="H88" s="50" t="str"/>
      <x:c r="I88" s="50" t="str"/>
      <x:c r="J88" s="50" t="str"/>
      <x:c r="K88" s="50" t="str">
        <x:v>否</x:v>
      </x:c>
      <x:c r="L88" s="50" t="str">
        <x:v>否</x:v>
      </x:c>
      <x:c r="M88" s="50" t="str"/>
      <x:c r="N88" s="50" t="str"/>
      <x:c r="O88" s="50" t="str"/>
      <x:c r="P88" s="50" t="str"/>
      <x:c r="Q88" s="50" t="str"/>
      <x:c r="R88" s="57" t="str">
        <x:f>IF(D88="","",IF(H88&lt;&gt;"有效","不可用：未有效",IF(I88&lt;&gt;"是","不可用：权属",IF(AND(B88="Ⅱ类",L88="是"),"不可用：已用于通过认定","可用"))))</x:f>
      </x:c>
      <x:c r="S88" s="50" t="str"/>
    </x:row>
    <x:row r="89">
      <x:c r="A89" s="49" t="str">
        <x:v>IP85</x:v>
      </x:c>
      <x:c r="B89" s="50" t="str"/>
      <x:c r="C89" s="50" t="str"/>
      <x:c r="D89" s="50" t="str"/>
      <x:c r="E89" s="50" t="str"/>
      <x:c r="F89" s="50" t="str"/>
      <x:c r="G89" s="55"/>
      <x:c r="H89" s="50" t="str"/>
      <x:c r="I89" s="50" t="str"/>
      <x:c r="J89" s="50" t="str"/>
      <x:c r="K89" s="50" t="str">
        <x:v>否</x:v>
      </x:c>
      <x:c r="L89" s="50" t="str">
        <x:v>否</x:v>
      </x:c>
      <x:c r="M89" s="50" t="str"/>
      <x:c r="N89" s="50" t="str"/>
      <x:c r="O89" s="50" t="str"/>
      <x:c r="P89" s="50" t="str"/>
      <x:c r="Q89" s="50" t="str"/>
      <x:c r="R89" s="57" t="str">
        <x:f>IF(D89="","",IF(H89&lt;&gt;"有效","不可用：未有效",IF(I89&lt;&gt;"是","不可用：权属",IF(AND(B89="Ⅱ类",L89="是"),"不可用：已用于通过认定","可用"))))</x:f>
      </x:c>
      <x:c r="S89" s="50" t="str"/>
    </x:row>
    <x:row r="90">
      <x:c r="A90" s="49" t="str">
        <x:v>IP86</x:v>
      </x:c>
      <x:c r="B90" s="50" t="str"/>
      <x:c r="C90" s="50" t="str"/>
      <x:c r="D90" s="50" t="str"/>
      <x:c r="E90" s="50" t="str"/>
      <x:c r="F90" s="50" t="str"/>
      <x:c r="G90" s="55"/>
      <x:c r="H90" s="50" t="str"/>
      <x:c r="I90" s="50" t="str"/>
      <x:c r="J90" s="50" t="str"/>
      <x:c r="K90" s="50" t="str">
        <x:v>否</x:v>
      </x:c>
      <x:c r="L90" s="50" t="str">
        <x:v>否</x:v>
      </x:c>
      <x:c r="M90" s="50" t="str"/>
      <x:c r="N90" s="50" t="str"/>
      <x:c r="O90" s="50" t="str"/>
      <x:c r="P90" s="50" t="str"/>
      <x:c r="Q90" s="50" t="str"/>
      <x:c r="R90" s="57" t="str">
        <x:f>IF(D90="","",IF(H90&lt;&gt;"有效","不可用：未有效",IF(I90&lt;&gt;"是","不可用：权属",IF(AND(B90="Ⅱ类",L90="是"),"不可用：已用于通过认定","可用"))))</x:f>
      </x:c>
      <x:c r="S90" s="50" t="str"/>
    </x:row>
    <x:row r="91">
      <x:c r="A91" s="49" t="str">
        <x:v>IP87</x:v>
      </x:c>
      <x:c r="B91" s="50" t="str"/>
      <x:c r="C91" s="50" t="str"/>
      <x:c r="D91" s="50" t="str"/>
      <x:c r="E91" s="50" t="str"/>
      <x:c r="F91" s="50" t="str"/>
      <x:c r="G91" s="55"/>
      <x:c r="H91" s="50" t="str"/>
      <x:c r="I91" s="50" t="str"/>
      <x:c r="J91" s="50" t="str"/>
      <x:c r="K91" s="50" t="str">
        <x:v>否</x:v>
      </x:c>
      <x:c r="L91" s="50" t="str">
        <x:v>否</x:v>
      </x:c>
      <x:c r="M91" s="50" t="str"/>
      <x:c r="N91" s="50" t="str"/>
      <x:c r="O91" s="50" t="str"/>
      <x:c r="P91" s="50" t="str"/>
      <x:c r="Q91" s="50" t="str"/>
      <x:c r="R91" s="57" t="str">
        <x:f>IF(D91="","",IF(H91&lt;&gt;"有效","不可用：未有效",IF(I91&lt;&gt;"是","不可用：权属",IF(AND(B91="Ⅱ类",L91="是"),"不可用：已用于通过认定","可用"))))</x:f>
      </x:c>
      <x:c r="S91" s="50" t="str"/>
    </x:row>
    <x:row r="92">
      <x:c r="A92" s="49" t="str">
        <x:v>IP88</x:v>
      </x:c>
      <x:c r="B92" s="50" t="str"/>
      <x:c r="C92" s="50" t="str"/>
      <x:c r="D92" s="50" t="str"/>
      <x:c r="E92" s="50" t="str"/>
      <x:c r="F92" s="50" t="str"/>
      <x:c r="G92" s="55"/>
      <x:c r="H92" s="50" t="str"/>
      <x:c r="I92" s="50" t="str"/>
      <x:c r="J92" s="50" t="str"/>
      <x:c r="K92" s="50" t="str">
        <x:v>否</x:v>
      </x:c>
      <x:c r="L92" s="50" t="str">
        <x:v>否</x:v>
      </x:c>
      <x:c r="M92" s="50" t="str"/>
      <x:c r="N92" s="50" t="str"/>
      <x:c r="O92" s="50" t="str"/>
      <x:c r="P92" s="50" t="str"/>
      <x:c r="Q92" s="50" t="str"/>
      <x:c r="R92" s="57" t="str">
        <x:f>IF(D92="","",IF(H92&lt;&gt;"有效","不可用：未有效",IF(I92&lt;&gt;"是","不可用：权属",IF(AND(B92="Ⅱ类",L92="是"),"不可用：已用于通过认定","可用"))))</x:f>
      </x:c>
      <x:c r="S92" s="50" t="str"/>
    </x:row>
    <x:row r="93">
      <x:c r="A93" s="49" t="str">
        <x:v>IP89</x:v>
      </x:c>
      <x:c r="B93" s="50" t="str"/>
      <x:c r="C93" s="50" t="str"/>
      <x:c r="D93" s="50" t="str"/>
      <x:c r="E93" s="50" t="str"/>
      <x:c r="F93" s="50" t="str"/>
      <x:c r="G93" s="55"/>
      <x:c r="H93" s="50" t="str"/>
      <x:c r="I93" s="50" t="str"/>
      <x:c r="J93" s="50" t="str"/>
      <x:c r="K93" s="50" t="str">
        <x:v>否</x:v>
      </x:c>
      <x:c r="L93" s="50" t="str">
        <x:v>否</x:v>
      </x:c>
      <x:c r="M93" s="50" t="str"/>
      <x:c r="N93" s="50" t="str"/>
      <x:c r="O93" s="50" t="str"/>
      <x:c r="P93" s="50" t="str"/>
      <x:c r="Q93" s="50" t="str"/>
      <x:c r="R93" s="57" t="str">
        <x:f>IF(D93="","",IF(H93&lt;&gt;"有效","不可用：未有效",IF(I93&lt;&gt;"是","不可用：权属",IF(AND(B93="Ⅱ类",L93="是"),"不可用：已用于通过认定","可用"))))</x:f>
      </x:c>
      <x:c r="S93" s="50" t="str"/>
    </x:row>
    <x:row r="94">
      <x:c r="A94" s="49" t="str">
        <x:v>IP90</x:v>
      </x:c>
      <x:c r="B94" s="50" t="str"/>
      <x:c r="C94" s="50" t="str"/>
      <x:c r="D94" s="50" t="str"/>
      <x:c r="E94" s="50" t="str"/>
      <x:c r="F94" s="50" t="str"/>
      <x:c r="G94" s="55"/>
      <x:c r="H94" s="50" t="str"/>
      <x:c r="I94" s="50" t="str"/>
      <x:c r="J94" s="50" t="str"/>
      <x:c r="K94" s="50" t="str">
        <x:v>否</x:v>
      </x:c>
      <x:c r="L94" s="50" t="str">
        <x:v>否</x:v>
      </x:c>
      <x:c r="M94" s="50" t="str"/>
      <x:c r="N94" s="50" t="str"/>
      <x:c r="O94" s="50" t="str"/>
      <x:c r="P94" s="50" t="str"/>
      <x:c r="Q94" s="50" t="str"/>
      <x:c r="R94" s="57" t="str">
        <x:f>IF(D94="","",IF(H94&lt;&gt;"有效","不可用：未有效",IF(I94&lt;&gt;"是","不可用：权属",IF(AND(B94="Ⅱ类",L94="是"),"不可用：已用于通过认定","可用"))))</x:f>
      </x:c>
      <x:c r="S94" s="50" t="str"/>
    </x:row>
    <x:row r="95">
      <x:c r="A95" s="49" t="str">
        <x:v>IP91</x:v>
      </x:c>
      <x:c r="B95" s="50" t="str"/>
      <x:c r="C95" s="50" t="str"/>
      <x:c r="D95" s="50" t="str"/>
      <x:c r="E95" s="50" t="str"/>
      <x:c r="F95" s="50" t="str"/>
      <x:c r="G95" s="55"/>
      <x:c r="H95" s="50" t="str"/>
      <x:c r="I95" s="50" t="str"/>
      <x:c r="J95" s="50" t="str"/>
      <x:c r="K95" s="50" t="str">
        <x:v>否</x:v>
      </x:c>
      <x:c r="L95" s="50" t="str">
        <x:v>否</x:v>
      </x:c>
      <x:c r="M95" s="50" t="str"/>
      <x:c r="N95" s="50" t="str"/>
      <x:c r="O95" s="50" t="str"/>
      <x:c r="P95" s="50" t="str"/>
      <x:c r="Q95" s="50" t="str"/>
      <x:c r="R95" s="57" t="str">
        <x:f>IF(D95="","",IF(H95&lt;&gt;"有效","不可用：未有效",IF(I95&lt;&gt;"是","不可用：权属",IF(AND(B95="Ⅱ类",L95="是"),"不可用：已用于通过认定","可用"))))</x:f>
      </x:c>
      <x:c r="S95" s="50" t="str"/>
    </x:row>
    <x:row r="96">
      <x:c r="A96" s="49" t="str">
        <x:v>IP92</x:v>
      </x:c>
      <x:c r="B96" s="50" t="str"/>
      <x:c r="C96" s="50" t="str"/>
      <x:c r="D96" s="50" t="str"/>
      <x:c r="E96" s="50" t="str"/>
      <x:c r="F96" s="50" t="str"/>
      <x:c r="G96" s="55"/>
      <x:c r="H96" s="50" t="str"/>
      <x:c r="I96" s="50" t="str"/>
      <x:c r="J96" s="50" t="str"/>
      <x:c r="K96" s="50" t="str">
        <x:v>否</x:v>
      </x:c>
      <x:c r="L96" s="50" t="str">
        <x:v>否</x:v>
      </x:c>
      <x:c r="M96" s="50" t="str"/>
      <x:c r="N96" s="50" t="str"/>
      <x:c r="O96" s="50" t="str"/>
      <x:c r="P96" s="50" t="str"/>
      <x:c r="Q96" s="50" t="str"/>
      <x:c r="R96" s="57" t="str">
        <x:f>IF(D96="","",IF(H96&lt;&gt;"有效","不可用：未有效",IF(I96&lt;&gt;"是","不可用：权属",IF(AND(B96="Ⅱ类",L96="是"),"不可用：已用于通过认定","可用"))))</x:f>
      </x:c>
      <x:c r="S96" s="50" t="str"/>
    </x:row>
    <x:row r="97">
      <x:c r="A97" s="49" t="str">
        <x:v>IP93</x:v>
      </x:c>
      <x:c r="B97" s="50" t="str"/>
      <x:c r="C97" s="50" t="str"/>
      <x:c r="D97" s="50" t="str"/>
      <x:c r="E97" s="50" t="str"/>
      <x:c r="F97" s="50" t="str"/>
      <x:c r="G97" s="55"/>
      <x:c r="H97" s="50" t="str"/>
      <x:c r="I97" s="50" t="str"/>
      <x:c r="J97" s="50" t="str"/>
      <x:c r="K97" s="50" t="str">
        <x:v>否</x:v>
      </x:c>
      <x:c r="L97" s="50" t="str">
        <x:v>否</x:v>
      </x:c>
      <x:c r="M97" s="50" t="str"/>
      <x:c r="N97" s="50" t="str"/>
      <x:c r="O97" s="50" t="str"/>
      <x:c r="P97" s="50" t="str"/>
      <x:c r="Q97" s="50" t="str"/>
      <x:c r="R97" s="57" t="str">
        <x:f>IF(D97="","",IF(H97&lt;&gt;"有效","不可用：未有效",IF(I97&lt;&gt;"是","不可用：权属",IF(AND(B97="Ⅱ类",L97="是"),"不可用：已用于通过认定","可用"))))</x:f>
      </x:c>
      <x:c r="S97" s="50" t="str"/>
    </x:row>
    <x:row r="98">
      <x:c r="A98" s="49" t="str">
        <x:v>IP94</x:v>
      </x:c>
      <x:c r="B98" s="50" t="str"/>
      <x:c r="C98" s="50" t="str"/>
      <x:c r="D98" s="50" t="str"/>
      <x:c r="E98" s="50" t="str"/>
      <x:c r="F98" s="50" t="str"/>
      <x:c r="G98" s="55"/>
      <x:c r="H98" s="50" t="str"/>
      <x:c r="I98" s="50" t="str"/>
      <x:c r="J98" s="50" t="str"/>
      <x:c r="K98" s="50" t="str">
        <x:v>否</x:v>
      </x:c>
      <x:c r="L98" s="50" t="str">
        <x:v>否</x:v>
      </x:c>
      <x:c r="M98" s="50" t="str"/>
      <x:c r="N98" s="50" t="str"/>
      <x:c r="O98" s="50" t="str"/>
      <x:c r="P98" s="50" t="str"/>
      <x:c r="Q98" s="50" t="str"/>
      <x:c r="R98" s="57" t="str">
        <x:f>IF(D98="","",IF(H98&lt;&gt;"有效","不可用：未有效",IF(I98&lt;&gt;"是","不可用：权属",IF(AND(B98="Ⅱ类",L98="是"),"不可用：已用于通过认定","可用"))))</x:f>
      </x:c>
      <x:c r="S98" s="50" t="str"/>
    </x:row>
    <x:row r="99">
      <x:c r="A99" s="49" t="str">
        <x:v>IP95</x:v>
      </x:c>
      <x:c r="B99" s="50" t="str"/>
      <x:c r="C99" s="50" t="str"/>
      <x:c r="D99" s="50" t="str"/>
      <x:c r="E99" s="50" t="str"/>
      <x:c r="F99" s="50" t="str"/>
      <x:c r="G99" s="55"/>
      <x:c r="H99" s="50" t="str"/>
      <x:c r="I99" s="50" t="str"/>
      <x:c r="J99" s="50" t="str"/>
      <x:c r="K99" s="50" t="str">
        <x:v>否</x:v>
      </x:c>
      <x:c r="L99" s="50" t="str">
        <x:v>否</x:v>
      </x:c>
      <x:c r="M99" s="50" t="str"/>
      <x:c r="N99" s="50" t="str"/>
      <x:c r="O99" s="50" t="str"/>
      <x:c r="P99" s="50" t="str"/>
      <x:c r="Q99" s="50" t="str"/>
      <x:c r="R99" s="57" t="str">
        <x:f>IF(D99="","",IF(H99&lt;&gt;"有效","不可用：未有效",IF(I99&lt;&gt;"是","不可用：权属",IF(AND(B99="Ⅱ类",L99="是"),"不可用：已用于通过认定","可用"))))</x:f>
      </x:c>
      <x:c r="S99" s="50" t="str"/>
    </x:row>
    <x:row r="100">
      <x:c r="A100" s="49" t="str">
        <x:v>IP96</x:v>
      </x:c>
      <x:c r="B100" s="50" t="str"/>
      <x:c r="C100" s="50" t="str"/>
      <x:c r="D100" s="50" t="str"/>
      <x:c r="E100" s="50" t="str"/>
      <x:c r="F100" s="50" t="str"/>
      <x:c r="G100" s="55"/>
      <x:c r="H100" s="50" t="str"/>
      <x:c r="I100" s="50" t="str"/>
      <x:c r="J100" s="50" t="str"/>
      <x:c r="K100" s="50" t="str">
        <x:v>否</x:v>
      </x:c>
      <x:c r="L100" s="50" t="str">
        <x:v>否</x:v>
      </x:c>
      <x:c r="M100" s="50" t="str"/>
      <x:c r="N100" s="50" t="str"/>
      <x:c r="O100" s="50" t="str"/>
      <x:c r="P100" s="50" t="str"/>
      <x:c r="Q100" s="50" t="str"/>
      <x:c r="R100" s="57" t="str">
        <x:f>IF(D100="","",IF(H100&lt;&gt;"有效","不可用：未有效",IF(I100&lt;&gt;"是","不可用：权属",IF(AND(B100="Ⅱ类",L100="是"),"不可用：已用于通过认定","可用"))))</x:f>
      </x:c>
      <x:c r="S100" s="50" t="str"/>
    </x:row>
    <x:row r="101">
      <x:c r="A101" s="49" t="str">
        <x:v>IP97</x:v>
      </x:c>
      <x:c r="B101" s="50" t="str"/>
      <x:c r="C101" s="50" t="str"/>
      <x:c r="D101" s="50" t="str"/>
      <x:c r="E101" s="50" t="str"/>
      <x:c r="F101" s="50" t="str"/>
      <x:c r="G101" s="55"/>
      <x:c r="H101" s="50" t="str"/>
      <x:c r="I101" s="50" t="str"/>
      <x:c r="J101" s="50" t="str"/>
      <x:c r="K101" s="50" t="str">
        <x:v>否</x:v>
      </x:c>
      <x:c r="L101" s="50" t="str">
        <x:v>否</x:v>
      </x:c>
      <x:c r="M101" s="50" t="str"/>
      <x:c r="N101" s="50" t="str"/>
      <x:c r="O101" s="50" t="str"/>
      <x:c r="P101" s="50" t="str"/>
      <x:c r="Q101" s="50" t="str"/>
      <x:c r="R101" s="57" t="str">
        <x:f>IF(D101="","",IF(H101&lt;&gt;"有效","不可用：未有效",IF(I101&lt;&gt;"是","不可用：权属",IF(AND(B101="Ⅱ类",L101="是"),"不可用：已用于通过认定","可用"))))</x:f>
      </x:c>
      <x:c r="S101" s="50" t="str"/>
    </x:row>
    <x:row r="102">
      <x:c r="A102" s="49" t="str">
        <x:v>IP98</x:v>
      </x:c>
      <x:c r="B102" s="50" t="str"/>
      <x:c r="C102" s="50" t="str"/>
      <x:c r="D102" s="50" t="str"/>
      <x:c r="E102" s="50" t="str"/>
      <x:c r="F102" s="50" t="str"/>
      <x:c r="G102" s="55"/>
      <x:c r="H102" s="50" t="str"/>
      <x:c r="I102" s="50" t="str"/>
      <x:c r="J102" s="50" t="str"/>
      <x:c r="K102" s="50" t="str">
        <x:v>否</x:v>
      </x:c>
      <x:c r="L102" s="50" t="str">
        <x:v>否</x:v>
      </x:c>
      <x:c r="M102" s="50" t="str"/>
      <x:c r="N102" s="50" t="str"/>
      <x:c r="O102" s="50" t="str"/>
      <x:c r="P102" s="50" t="str"/>
      <x:c r="Q102" s="50" t="str"/>
      <x:c r="R102" s="57" t="str">
        <x:f>IF(D102="","",IF(H102&lt;&gt;"有效","不可用：未有效",IF(I102&lt;&gt;"是","不可用：权属",IF(AND(B102="Ⅱ类",L102="是"),"不可用：已用于通过认定","可用"))))</x:f>
      </x:c>
      <x:c r="S102" s="50" t="str"/>
    </x:row>
    <x:row r="103">
      <x:c r="A103" s="49" t="str">
        <x:v>IP99</x:v>
      </x:c>
      <x:c r="B103" s="50" t="str"/>
      <x:c r="C103" s="50" t="str"/>
      <x:c r="D103" s="50" t="str"/>
      <x:c r="E103" s="50" t="str"/>
      <x:c r="F103" s="50" t="str"/>
      <x:c r="G103" s="55"/>
      <x:c r="H103" s="50" t="str"/>
      <x:c r="I103" s="50" t="str"/>
      <x:c r="J103" s="50" t="str"/>
      <x:c r="K103" s="50" t="str">
        <x:v>否</x:v>
      </x:c>
      <x:c r="L103" s="50" t="str">
        <x:v>否</x:v>
      </x:c>
      <x:c r="M103" s="50" t="str"/>
      <x:c r="N103" s="50" t="str"/>
      <x:c r="O103" s="50" t="str"/>
      <x:c r="P103" s="50" t="str"/>
      <x:c r="Q103" s="50" t="str"/>
      <x:c r="R103" s="57" t="str">
        <x:f>IF(D103="","",IF(H103&lt;&gt;"有效","不可用：未有效",IF(I103&lt;&gt;"是","不可用：权属",IF(AND(B103="Ⅱ类",L103="是"),"不可用：已用于通过认定","可用"))))</x:f>
      </x:c>
      <x:c r="S103" s="50" t="str"/>
    </x:row>
    <x:row r="104">
      <x:c r="A104" s="49" t="str">
        <x:v>IP100</x:v>
      </x:c>
      <x:c r="B104" s="50" t="str"/>
      <x:c r="C104" s="50" t="str"/>
      <x:c r="D104" s="50" t="str"/>
      <x:c r="E104" s="50" t="str"/>
      <x:c r="F104" s="50" t="str"/>
      <x:c r="G104" s="55"/>
      <x:c r="H104" s="50" t="str"/>
      <x:c r="I104" s="50" t="str"/>
      <x:c r="J104" s="50" t="str"/>
      <x:c r="K104" s="50" t="str">
        <x:v>否</x:v>
      </x:c>
      <x:c r="L104" s="50" t="str">
        <x:v>否</x:v>
      </x:c>
      <x:c r="M104" s="50" t="str"/>
      <x:c r="N104" s="50" t="str"/>
      <x:c r="O104" s="50" t="str"/>
      <x:c r="P104" s="50" t="str"/>
      <x:c r="Q104" s="50" t="str"/>
      <x:c r="R104" s="57" t="str">
        <x:f>IF(D104="","",IF(H104&lt;&gt;"有效","不可用：未有效",IF(I104&lt;&gt;"是","不可用：权属",IF(AND(B104="Ⅱ类",L104="是"),"不可用：已用于通过认定","可用"))))</x:f>
      </x:c>
      <x:c r="S104" s="50" t="str"/>
    </x:row>
  </x:sheetData>
  <x:mergeCells>
    <x:mergeCell ref="A1:S1"/>
    <x:mergeCell ref="A2:S2"/>
  </x:mergeCells>
  <x:conditionalFormatting sqref="R5:R104">
    <x:cfRule type="containsText" dxfId="0" priority="1" operator="containsText" text="可用"/>
    <x:cfRule type="beginsWith" dxfId="1" priority="2" operator="beginsWith" text="不可用"/>
  </x:conditionalFormatting>
  <x:dataValidations count="8">
    <x:dataValidation type="list" sqref="B5:B104">
      <x:formula1>"Ⅰ类,Ⅱ类"</x:formula1>
    </x:dataValidation>
    <x:dataValidation type="list" sqref="C5:C104">
      <x:formula1>"发明专利,实用新型,外观设计,软件著作权,植物新品种,集成电路布图设计,其他"</x:formula1>
    </x:dataValidation>
    <x:dataValidation type="list" sqref="H5:H104">
      <x:formula1>"有效,申请中,失效,待核"</x:formula1>
    </x:dataValidation>
    <x:dataValidation type="list" sqref="I5:I104">
      <x:formula1>"是,否,待核"</x:formula1>
    </x:dataValidation>
    <x:dataValidation type="list" sqref="J5:J104">
      <x:formula1>"自主研发,受让,受赠,并购,其他"</x:formula1>
    </x:dataValidation>
    <x:dataValidation type="list" sqref="K5:L104">
      <x:formula1>"是,否,待核"</x:formula1>
    </x:dataValidation>
    <x:dataValidation type="list" sqref="P5:P104">
      <x:formula1>"强,较强,一般,较弱,无,待核"</x:formula1>
    </x:dataValidation>
    <x:dataValidation type="list" sqref="Q5:Q104">
      <x:formula1>"完整,部分,薄弱,待核"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6ed40c6bbae47e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0" hidden="0" customWidth="1"/>
    <x:col min="3" max="3" width="26" hidden="0" customWidth="1"/>
    <x:col min="4" max="4" width="16" hidden="0" customWidth="1"/>
    <x:col min="5" max="5" width="14" hidden="0" customWidth="1"/>
    <x:col min="6" max="6" width="28" hidden="0" customWidth="1"/>
    <x:col min="7" max="7" width="28" hidden="0" customWidth="1"/>
    <x:col min="8" max="8" width="24" hidden="0" customWidth="1"/>
    <x:col min="9" max="9" width="28" hidden="0" customWidth="1"/>
    <x:col min="10" max="10" width="18" hidden="0" customWidth="1"/>
    <x:col min="11" max="11" width="14" hidden="0" customWidth="1"/>
    <x:col min="12" max="12" width="12" hidden="0" customWidth="1"/>
    <x:col min="13" max="13" width="12" hidden="0" customWidth="1"/>
    <x:col min="14" max="14" width="16" hidden="0" customWidth="1"/>
    <x:col min="15" max="15" width="12" hidden="0" customWidth="1"/>
    <x:col min="16" max="16" width="30" hidden="0" customWidth="1"/>
  </x:cols>
  <x:sheetData>
    <x:row r="1" ht="34" customHeight="1">
      <x:c r="A1" s="46" t="str">
        <x:v>科技成果转化逐项采集</x:v>
      </x:c>
      <x:c r="B1" s="46" t="str">
        <x:v>科技成果转化逐项采集</x:v>
      </x:c>
      <x:c r="C1" s="46" t="str">
        <x:v>科技成果转化逐项采集</x:v>
      </x:c>
      <x:c r="D1" s="46" t="str">
        <x:v>科技成果转化逐项采集</x:v>
      </x:c>
      <x:c r="E1" s="46" t="str">
        <x:v>科技成果转化逐项采集</x:v>
      </x:c>
      <x:c r="F1" s="46" t="str">
        <x:v>科技成果转化逐项采集</x:v>
      </x:c>
      <x:c r="G1" s="46" t="str">
        <x:v>科技成果转化逐项采集</x:v>
      </x:c>
      <x:c r="H1" s="46" t="str">
        <x:v>科技成果转化逐项采集</x:v>
      </x:c>
      <x:c r="I1" s="46" t="str">
        <x:v>科技成果转化逐项采集</x:v>
      </x:c>
      <x:c r="J1" s="46" t="str">
        <x:v>科技成果转化逐项采集</x:v>
      </x:c>
      <x:c r="K1" s="46" t="str">
        <x:v>科技成果转化逐项采集</x:v>
      </x:c>
      <x:c r="L1" s="46" t="str">
        <x:v>科技成果转化逐项采集</x:v>
      </x:c>
      <x:c r="M1" s="46" t="str">
        <x:v>科技成果转化逐项采集</x:v>
      </x:c>
      <x:c r="N1" s="46" t="str">
        <x:v>科技成果转化逐项采集</x:v>
      </x:c>
      <x:c r="O1" s="46" t="str">
        <x:v>科技成果转化逐项采集</x:v>
      </x:c>
      <x:c r="P1" s="46" t="str">
        <x:v>科技成果转化逐项采集</x:v>
      </x:c>
    </x:row>
    <x:row r="2" ht="28" customHeight="1">
      <x:c r="A2" s="40" t="str">
        <x:v>保守计数要求成果来源、转化过程、转化载体和应用成效形成证据链；同一成果不得重复拆分。</x:v>
      </x:c>
      <x:c r="B2" s="40" t="str">
        <x:v>保守计数要求成果来源、转化过程、转化载体和应用成效形成证据链；同一成果不得重复拆分。</x:v>
      </x:c>
      <x:c r="C2" s="40" t="str">
        <x:v>保守计数要求成果来源、转化过程、转化载体和应用成效形成证据链；同一成果不得重复拆分。</x:v>
      </x:c>
      <x:c r="D2" s="40" t="str">
        <x:v>保守计数要求成果来源、转化过程、转化载体和应用成效形成证据链；同一成果不得重复拆分。</x:v>
      </x:c>
      <x:c r="E2" s="40" t="str">
        <x:v>保守计数要求成果来源、转化过程、转化载体和应用成效形成证据链；同一成果不得重复拆分。</x:v>
      </x:c>
      <x:c r="F2" s="40" t="str">
        <x:v>保守计数要求成果来源、转化过程、转化载体和应用成效形成证据链；同一成果不得重复拆分。</x:v>
      </x:c>
      <x:c r="G2" s="40" t="str">
        <x:v>保守计数要求成果来源、转化过程、转化载体和应用成效形成证据链；同一成果不得重复拆分。</x:v>
      </x:c>
      <x:c r="H2" s="40" t="str">
        <x:v>保守计数要求成果来源、转化过程、转化载体和应用成效形成证据链；同一成果不得重复拆分。</x:v>
      </x:c>
      <x:c r="I2" s="40" t="str">
        <x:v>保守计数要求成果来源、转化过程、转化载体和应用成效形成证据链；同一成果不得重复拆分。</x:v>
      </x:c>
      <x:c r="J2" s="40" t="str">
        <x:v>保守计数要求成果来源、转化过程、转化载体和应用成效形成证据链；同一成果不得重复拆分。</x:v>
      </x:c>
      <x:c r="K2" s="40" t="str">
        <x:v>保守计数要求成果来源、转化过程、转化载体和应用成效形成证据链；同一成果不得重复拆分。</x:v>
      </x:c>
      <x:c r="L2" s="40" t="str">
        <x:v>保守计数要求成果来源、转化过程、转化载体和应用成效形成证据链；同一成果不得重复拆分。</x:v>
      </x:c>
      <x:c r="M2" s="40" t="str">
        <x:v>保守计数要求成果来源、转化过程、转化载体和应用成效形成证据链；同一成果不得重复拆分。</x:v>
      </x:c>
      <x:c r="N2" s="40" t="str">
        <x:v>保守计数要求成果来源、转化过程、转化载体和应用成效形成证据链；同一成果不得重复拆分。</x:v>
      </x:c>
      <x:c r="O2" s="40" t="str">
        <x:v>保守计数要求成果来源、转化过程、转化载体和应用成效形成证据链；同一成果不得重复拆分。</x:v>
      </x:c>
      <x:c r="P2" s="40" t="str">
        <x:v>保守计数要求成果来源、转化过程、转化载体和应用成效形成证据链；同一成果不得重复拆分。</x:v>
      </x:c>
    </x:row>
    <x:row r="3">
      <x:c r="A3" s="47"/>
      <x:c r="B3" s="47"/>
      <x:c r="C3" s="47"/>
      <x:c r="D3" s="47"/>
      <x:c r="E3" s="47"/>
      <x:c r="F3" s="47"/>
      <x:c r="G3" s="47"/>
      <x:c r="H3" s="47"/>
      <x:c r="I3" s="47"/>
      <x:c r="J3" s="47"/>
      <x:c r="K3" s="47"/>
      <x:c r="L3" s="47"/>
      <x:c r="M3" s="47"/>
      <x:c r="N3" s="47"/>
      <x:c r="O3" s="47"/>
      <x:c r="P3" s="47"/>
    </x:row>
    <x:row r="4">
      <x:c r="A4" s="48" t="str">
        <x:v>转化编号</x:v>
      </x:c>
      <x:c r="B4" s="48" t="str">
        <x:v>年度</x:v>
      </x:c>
      <x:c r="C4" s="48" t="str">
        <x:v>成果名称</x:v>
      </x:c>
      <x:c r="D4" s="48" t="str">
        <x:v>成果来源类型</x:v>
      </x:c>
      <x:c r="E4" s="48" t="str">
        <x:v>来源编号</x:v>
      </x:c>
      <x:c r="F4" s="48" t="str">
        <x:v>技术边界</x:v>
      </x:c>
      <x:c r="G4" s="48" t="str">
        <x:v>转化过程证据</x:v>
      </x:c>
      <x:c r="H4" s="48" t="str">
        <x:v>转化载体</x:v>
      </x:c>
      <x:c r="I4" s="48" t="str">
        <x:v>应用成效证据</x:v>
      </x:c>
      <x:c r="J4" s="48" t="str">
        <x:v>对应高品</x:v>
      </x:c>
      <x:c r="K4" s="48" t="str">
        <x:v>对应收入</x:v>
      </x:c>
      <x:c r="L4" s="48" t="str">
        <x:v>独立成果</x:v>
      </x:c>
      <x:c r="M4" s="48" t="str">
        <x:v>是否重复</x:v>
      </x:c>
      <x:c r="N4" s="48" t="str">
        <x:v>保守判断</x:v>
      </x:c>
      <x:c r="O4" s="48" t="str">
        <x:v>保守计数</x:v>
      </x:c>
      <x:c r="P4" s="48" t="str">
        <x:v>争议与备注</x:v>
      </x:c>
    </x:row>
    <x:row r="5">
      <x:c r="A5" s="49" t="str">
        <x:v>CT01</x:v>
      </x:c>
      <x:c r="B5" s="50"/>
      <x:c r="C5" s="50" t="str"/>
      <x:c r="D5" s="50" t="str"/>
      <x:c r="E5" s="50" t="str"/>
      <x:c r="F5" s="50" t="str"/>
      <x:c r="G5" s="50" t="str"/>
      <x:c r="H5" s="50" t="str"/>
      <x:c r="I5" s="50" t="str"/>
      <x:c r="J5" s="50" t="str"/>
      <x:c r="K5" s="61"/>
      <x:c r="L5" s="50" t="str">
        <x:v>待核</x:v>
      </x:c>
      <x:c r="M5" s="50" t="str">
        <x:v>待核</x:v>
      </x:c>
      <x:c r="N5" s="57" t="str">
        <x:f>IF(C5="","",IF(AND(F5&lt;&gt;"",G5&lt;&gt;"",H5&lt;&gt;"",I5&lt;&gt;"",L5="是",M5="否"),"计1项",IF(AND(H5&lt;&gt;"",I5&lt;&gt;"",L5="是",M5="否"),"中等证据","保守不计")))</x:f>
      </x:c>
      <x:c r="O5" s="57" t="n">
        <x:f>IF(OR(N5="计1项",N5="中等证据"),1,0)</x:f>
        <x:v>0</x:v>
      </x:c>
      <x:c r="P5" s="50" t="str"/>
    </x:row>
    <x:row r="6">
      <x:c r="A6" s="49" t="str">
        <x:v>CT02</x:v>
      </x:c>
      <x:c r="B6" s="50"/>
      <x:c r="C6" s="50" t="str"/>
      <x:c r="D6" s="50" t="str"/>
      <x:c r="E6" s="50" t="str"/>
      <x:c r="F6" s="50" t="str"/>
      <x:c r="G6" s="50" t="str"/>
      <x:c r="H6" s="50" t="str"/>
      <x:c r="I6" s="50" t="str"/>
      <x:c r="J6" s="50" t="str"/>
      <x:c r="K6" s="61"/>
      <x:c r="L6" s="50" t="str">
        <x:v>待核</x:v>
      </x:c>
      <x:c r="M6" s="50" t="str">
        <x:v>待核</x:v>
      </x:c>
      <x:c r="N6" s="57" t="str">
        <x:f>IF(C6="","",IF(AND(F6&lt;&gt;"",G6&lt;&gt;"",H6&lt;&gt;"",I6&lt;&gt;"",L6="是",M6="否"),"计1项",IF(AND(H6&lt;&gt;"",I6&lt;&gt;"",L6="是",M6="否"),"中等证据","保守不计")))</x:f>
      </x:c>
      <x:c r="O6" s="57" t="n">
        <x:f>IF(OR(N6="计1项",N6="中等证据"),1,0)</x:f>
        <x:v>0</x:v>
      </x:c>
      <x:c r="P6" s="50" t="str"/>
    </x:row>
    <x:row r="7">
      <x:c r="A7" s="49" t="str">
        <x:v>CT03</x:v>
      </x:c>
      <x:c r="B7" s="50"/>
      <x:c r="C7" s="50" t="str"/>
      <x:c r="D7" s="50" t="str"/>
      <x:c r="E7" s="50" t="str"/>
      <x:c r="F7" s="50" t="str"/>
      <x:c r="G7" s="50" t="str"/>
      <x:c r="H7" s="50" t="str"/>
      <x:c r="I7" s="50" t="str"/>
      <x:c r="J7" s="50" t="str"/>
      <x:c r="K7" s="61"/>
      <x:c r="L7" s="50" t="str">
        <x:v>待核</x:v>
      </x:c>
      <x:c r="M7" s="50" t="str">
        <x:v>待核</x:v>
      </x:c>
      <x:c r="N7" s="57" t="str">
        <x:f>IF(C7="","",IF(AND(F7&lt;&gt;"",G7&lt;&gt;"",H7&lt;&gt;"",I7&lt;&gt;"",L7="是",M7="否"),"计1项",IF(AND(H7&lt;&gt;"",I7&lt;&gt;"",L7="是",M7="否"),"中等证据","保守不计")))</x:f>
      </x:c>
      <x:c r="O7" s="57" t="n">
        <x:f>IF(OR(N7="计1项",N7="中等证据"),1,0)</x:f>
        <x:v>0</x:v>
      </x:c>
      <x:c r="P7" s="50" t="str"/>
    </x:row>
    <x:row r="8">
      <x:c r="A8" s="49" t="str">
        <x:v>CT04</x:v>
      </x:c>
      <x:c r="B8" s="50"/>
      <x:c r="C8" s="50" t="str"/>
      <x:c r="D8" s="50" t="str"/>
      <x:c r="E8" s="50" t="str"/>
      <x:c r="F8" s="50" t="str"/>
      <x:c r="G8" s="50" t="str"/>
      <x:c r="H8" s="50" t="str"/>
      <x:c r="I8" s="50" t="str"/>
      <x:c r="J8" s="50" t="str"/>
      <x:c r="K8" s="61"/>
      <x:c r="L8" s="50" t="str">
        <x:v>待核</x:v>
      </x:c>
      <x:c r="M8" s="50" t="str">
        <x:v>待核</x:v>
      </x:c>
      <x:c r="N8" s="57" t="str">
        <x:f>IF(C8="","",IF(AND(F8&lt;&gt;"",G8&lt;&gt;"",H8&lt;&gt;"",I8&lt;&gt;"",L8="是",M8="否"),"计1项",IF(AND(H8&lt;&gt;"",I8&lt;&gt;"",L8="是",M8="否"),"中等证据","保守不计")))</x:f>
      </x:c>
      <x:c r="O8" s="57" t="n">
        <x:f>IF(OR(N8="计1项",N8="中等证据"),1,0)</x:f>
        <x:v>0</x:v>
      </x:c>
      <x:c r="P8" s="50" t="str"/>
    </x:row>
    <x:row r="9">
      <x:c r="A9" s="49" t="str">
        <x:v>CT05</x:v>
      </x:c>
      <x:c r="B9" s="50"/>
      <x:c r="C9" s="50" t="str"/>
      <x:c r="D9" s="50" t="str"/>
      <x:c r="E9" s="50" t="str"/>
      <x:c r="F9" s="50" t="str"/>
      <x:c r="G9" s="50" t="str"/>
      <x:c r="H9" s="50" t="str"/>
      <x:c r="I9" s="50" t="str"/>
      <x:c r="J9" s="50" t="str"/>
      <x:c r="K9" s="61"/>
      <x:c r="L9" s="50" t="str">
        <x:v>待核</x:v>
      </x:c>
      <x:c r="M9" s="50" t="str">
        <x:v>待核</x:v>
      </x:c>
      <x:c r="N9" s="57" t="str">
        <x:f>IF(C9="","",IF(AND(F9&lt;&gt;"",G9&lt;&gt;"",H9&lt;&gt;"",I9&lt;&gt;"",L9="是",M9="否"),"计1项",IF(AND(H9&lt;&gt;"",I9&lt;&gt;"",L9="是",M9="否"),"中等证据","保守不计")))</x:f>
      </x:c>
      <x:c r="O9" s="57" t="n">
        <x:f>IF(OR(N9="计1项",N9="中等证据"),1,0)</x:f>
        <x:v>0</x:v>
      </x:c>
      <x:c r="P9" s="50" t="str"/>
    </x:row>
    <x:row r="10">
      <x:c r="A10" s="49" t="str">
        <x:v>CT06</x:v>
      </x:c>
      <x:c r="B10" s="50"/>
      <x:c r="C10" s="50" t="str"/>
      <x:c r="D10" s="50" t="str"/>
      <x:c r="E10" s="50" t="str"/>
      <x:c r="F10" s="50" t="str"/>
      <x:c r="G10" s="50" t="str"/>
      <x:c r="H10" s="50" t="str"/>
      <x:c r="I10" s="50" t="str"/>
      <x:c r="J10" s="50" t="str"/>
      <x:c r="K10" s="61"/>
      <x:c r="L10" s="50" t="str">
        <x:v>待核</x:v>
      </x:c>
      <x:c r="M10" s="50" t="str">
        <x:v>待核</x:v>
      </x:c>
      <x:c r="N10" s="57" t="str">
        <x:f>IF(C10="","",IF(AND(F10&lt;&gt;"",G10&lt;&gt;"",H10&lt;&gt;"",I10&lt;&gt;"",L10="是",M10="否"),"计1项",IF(AND(H10&lt;&gt;"",I10&lt;&gt;"",L10="是",M10="否"),"中等证据","保守不计")))</x:f>
      </x:c>
      <x:c r="O10" s="57" t="n">
        <x:f>IF(OR(N10="计1项",N10="中等证据"),1,0)</x:f>
        <x:v>0</x:v>
      </x:c>
      <x:c r="P10" s="50" t="str"/>
    </x:row>
    <x:row r="11">
      <x:c r="A11" s="49" t="str">
        <x:v>CT07</x:v>
      </x:c>
      <x:c r="B11" s="50"/>
      <x:c r="C11" s="50" t="str"/>
      <x:c r="D11" s="50" t="str"/>
      <x:c r="E11" s="50" t="str"/>
      <x:c r="F11" s="50" t="str"/>
      <x:c r="G11" s="50" t="str"/>
      <x:c r="H11" s="50" t="str"/>
      <x:c r="I11" s="50" t="str"/>
      <x:c r="J11" s="50" t="str"/>
      <x:c r="K11" s="61"/>
      <x:c r="L11" s="50" t="str">
        <x:v>待核</x:v>
      </x:c>
      <x:c r="M11" s="50" t="str">
        <x:v>待核</x:v>
      </x:c>
      <x:c r="N11" s="57" t="str">
        <x:f>IF(C11="","",IF(AND(F11&lt;&gt;"",G11&lt;&gt;"",H11&lt;&gt;"",I11&lt;&gt;"",L11="是",M11="否"),"计1项",IF(AND(H11&lt;&gt;"",I11&lt;&gt;"",L11="是",M11="否"),"中等证据","保守不计")))</x:f>
      </x:c>
      <x:c r="O11" s="57" t="n">
        <x:f>IF(OR(N11="计1项",N11="中等证据"),1,0)</x:f>
        <x:v>0</x:v>
      </x:c>
      <x:c r="P11" s="50" t="str"/>
    </x:row>
    <x:row r="12">
      <x:c r="A12" s="49" t="str">
        <x:v>CT08</x:v>
      </x:c>
      <x:c r="B12" s="50"/>
      <x:c r="C12" s="50" t="str"/>
      <x:c r="D12" s="50" t="str"/>
      <x:c r="E12" s="50" t="str"/>
      <x:c r="F12" s="50" t="str"/>
      <x:c r="G12" s="50" t="str"/>
      <x:c r="H12" s="50" t="str"/>
      <x:c r="I12" s="50" t="str"/>
      <x:c r="J12" s="50" t="str"/>
      <x:c r="K12" s="61"/>
      <x:c r="L12" s="50" t="str">
        <x:v>待核</x:v>
      </x:c>
      <x:c r="M12" s="50" t="str">
        <x:v>待核</x:v>
      </x:c>
      <x:c r="N12" s="57" t="str">
        <x:f>IF(C12="","",IF(AND(F12&lt;&gt;"",G12&lt;&gt;"",H12&lt;&gt;"",I12&lt;&gt;"",L12="是",M12="否"),"计1项",IF(AND(H12&lt;&gt;"",I12&lt;&gt;"",L12="是",M12="否"),"中等证据","保守不计")))</x:f>
      </x:c>
      <x:c r="O12" s="57" t="n">
        <x:f>IF(OR(N12="计1项",N12="中等证据"),1,0)</x:f>
        <x:v>0</x:v>
      </x:c>
      <x:c r="P12" s="50" t="str"/>
    </x:row>
    <x:row r="13">
      <x:c r="A13" s="49" t="str">
        <x:v>CT09</x:v>
      </x:c>
      <x:c r="B13" s="50"/>
      <x:c r="C13" s="50" t="str"/>
      <x:c r="D13" s="50" t="str"/>
      <x:c r="E13" s="50" t="str"/>
      <x:c r="F13" s="50" t="str"/>
      <x:c r="G13" s="50" t="str"/>
      <x:c r="H13" s="50" t="str"/>
      <x:c r="I13" s="50" t="str"/>
      <x:c r="J13" s="50" t="str"/>
      <x:c r="K13" s="61"/>
      <x:c r="L13" s="50" t="str">
        <x:v>待核</x:v>
      </x:c>
      <x:c r="M13" s="50" t="str">
        <x:v>待核</x:v>
      </x:c>
      <x:c r="N13" s="57" t="str">
        <x:f>IF(C13="","",IF(AND(F13&lt;&gt;"",G13&lt;&gt;"",H13&lt;&gt;"",I13&lt;&gt;"",L13="是",M13="否"),"计1项",IF(AND(H13&lt;&gt;"",I13&lt;&gt;"",L13="是",M13="否"),"中等证据","保守不计")))</x:f>
      </x:c>
      <x:c r="O13" s="57" t="n">
        <x:f>IF(OR(N13="计1项",N13="中等证据"),1,0)</x:f>
        <x:v>0</x:v>
      </x:c>
      <x:c r="P13" s="50" t="str"/>
    </x:row>
    <x:row r="14">
      <x:c r="A14" s="49" t="str">
        <x:v>CT10</x:v>
      </x:c>
      <x:c r="B14" s="50"/>
      <x:c r="C14" s="50" t="str"/>
      <x:c r="D14" s="50" t="str"/>
      <x:c r="E14" s="50" t="str"/>
      <x:c r="F14" s="50" t="str"/>
      <x:c r="G14" s="50" t="str"/>
      <x:c r="H14" s="50" t="str"/>
      <x:c r="I14" s="50" t="str"/>
      <x:c r="J14" s="50" t="str"/>
      <x:c r="K14" s="61"/>
      <x:c r="L14" s="50" t="str">
        <x:v>待核</x:v>
      </x:c>
      <x:c r="M14" s="50" t="str">
        <x:v>待核</x:v>
      </x:c>
      <x:c r="N14" s="57" t="str">
        <x:f>IF(C14="","",IF(AND(F14&lt;&gt;"",G14&lt;&gt;"",H14&lt;&gt;"",I14&lt;&gt;"",L14="是",M14="否"),"计1项",IF(AND(H14&lt;&gt;"",I14&lt;&gt;"",L14="是",M14="否"),"中等证据","保守不计")))</x:f>
      </x:c>
      <x:c r="O14" s="57" t="n">
        <x:f>IF(OR(N14="计1项",N14="中等证据"),1,0)</x:f>
        <x:v>0</x:v>
      </x:c>
      <x:c r="P14" s="50" t="str"/>
    </x:row>
    <x:row r="15">
      <x:c r="A15" s="49" t="str">
        <x:v>CT11</x:v>
      </x:c>
      <x:c r="B15" s="50"/>
      <x:c r="C15" s="50" t="str"/>
      <x:c r="D15" s="50" t="str"/>
      <x:c r="E15" s="50" t="str"/>
      <x:c r="F15" s="50" t="str"/>
      <x:c r="G15" s="50" t="str"/>
      <x:c r="H15" s="50" t="str"/>
      <x:c r="I15" s="50" t="str"/>
      <x:c r="J15" s="50" t="str"/>
      <x:c r="K15" s="61"/>
      <x:c r="L15" s="50" t="str">
        <x:v>待核</x:v>
      </x:c>
      <x:c r="M15" s="50" t="str">
        <x:v>待核</x:v>
      </x:c>
      <x:c r="N15" s="57" t="str">
        <x:f>IF(C15="","",IF(AND(F15&lt;&gt;"",G15&lt;&gt;"",H15&lt;&gt;"",I15&lt;&gt;"",L15="是",M15="否"),"计1项",IF(AND(H15&lt;&gt;"",I15&lt;&gt;"",L15="是",M15="否"),"中等证据","保守不计")))</x:f>
      </x:c>
      <x:c r="O15" s="57" t="n">
        <x:f>IF(OR(N15="计1项",N15="中等证据"),1,0)</x:f>
        <x:v>0</x:v>
      </x:c>
      <x:c r="P15" s="50" t="str"/>
    </x:row>
    <x:row r="16">
      <x:c r="A16" s="49" t="str">
        <x:v>CT12</x:v>
      </x:c>
      <x:c r="B16" s="50"/>
      <x:c r="C16" s="50" t="str"/>
      <x:c r="D16" s="50" t="str"/>
      <x:c r="E16" s="50" t="str"/>
      <x:c r="F16" s="50" t="str"/>
      <x:c r="G16" s="50" t="str"/>
      <x:c r="H16" s="50" t="str"/>
      <x:c r="I16" s="50" t="str"/>
      <x:c r="J16" s="50" t="str"/>
      <x:c r="K16" s="61"/>
      <x:c r="L16" s="50" t="str">
        <x:v>待核</x:v>
      </x:c>
      <x:c r="M16" s="50" t="str">
        <x:v>待核</x:v>
      </x:c>
      <x:c r="N16" s="57" t="str">
        <x:f>IF(C16="","",IF(AND(F16&lt;&gt;"",G16&lt;&gt;"",H16&lt;&gt;"",I16&lt;&gt;"",L16="是",M16="否"),"计1项",IF(AND(H16&lt;&gt;"",I16&lt;&gt;"",L16="是",M16="否"),"中等证据","保守不计")))</x:f>
      </x:c>
      <x:c r="O16" s="57" t="n">
        <x:f>IF(OR(N16="计1项",N16="中等证据"),1,0)</x:f>
        <x:v>0</x:v>
      </x:c>
      <x:c r="P16" s="50" t="str"/>
    </x:row>
    <x:row r="17">
      <x:c r="A17" s="49" t="str">
        <x:v>CT13</x:v>
      </x:c>
      <x:c r="B17" s="50"/>
      <x:c r="C17" s="50" t="str"/>
      <x:c r="D17" s="50" t="str"/>
      <x:c r="E17" s="50" t="str"/>
      <x:c r="F17" s="50" t="str"/>
      <x:c r="G17" s="50" t="str"/>
      <x:c r="H17" s="50" t="str"/>
      <x:c r="I17" s="50" t="str"/>
      <x:c r="J17" s="50" t="str"/>
      <x:c r="K17" s="61"/>
      <x:c r="L17" s="50" t="str">
        <x:v>待核</x:v>
      </x:c>
      <x:c r="M17" s="50" t="str">
        <x:v>待核</x:v>
      </x:c>
      <x:c r="N17" s="57" t="str">
        <x:f>IF(C17="","",IF(AND(F17&lt;&gt;"",G17&lt;&gt;"",H17&lt;&gt;"",I17&lt;&gt;"",L17="是",M17="否"),"计1项",IF(AND(H17&lt;&gt;"",I17&lt;&gt;"",L17="是",M17="否"),"中等证据","保守不计")))</x:f>
      </x:c>
      <x:c r="O17" s="57" t="n">
        <x:f>IF(OR(N17="计1项",N17="中等证据"),1,0)</x:f>
        <x:v>0</x:v>
      </x:c>
      <x:c r="P17" s="50" t="str"/>
    </x:row>
    <x:row r="18">
      <x:c r="A18" s="49" t="str">
        <x:v>CT14</x:v>
      </x:c>
      <x:c r="B18" s="50"/>
      <x:c r="C18" s="50" t="str"/>
      <x:c r="D18" s="50" t="str"/>
      <x:c r="E18" s="50" t="str"/>
      <x:c r="F18" s="50" t="str"/>
      <x:c r="G18" s="50" t="str"/>
      <x:c r="H18" s="50" t="str"/>
      <x:c r="I18" s="50" t="str"/>
      <x:c r="J18" s="50" t="str"/>
      <x:c r="K18" s="61"/>
      <x:c r="L18" s="50" t="str">
        <x:v>待核</x:v>
      </x:c>
      <x:c r="M18" s="50" t="str">
        <x:v>待核</x:v>
      </x:c>
      <x:c r="N18" s="57" t="str">
        <x:f>IF(C18="","",IF(AND(F18&lt;&gt;"",G18&lt;&gt;"",H18&lt;&gt;"",I18&lt;&gt;"",L18="是",M18="否"),"计1项",IF(AND(H18&lt;&gt;"",I18&lt;&gt;"",L18="是",M18="否"),"中等证据","保守不计")))</x:f>
      </x:c>
      <x:c r="O18" s="57" t="n">
        <x:f>IF(OR(N18="计1项",N18="中等证据"),1,0)</x:f>
        <x:v>0</x:v>
      </x:c>
      <x:c r="P18" s="50" t="str"/>
    </x:row>
    <x:row r="19">
      <x:c r="A19" s="49" t="str">
        <x:v>CT15</x:v>
      </x:c>
      <x:c r="B19" s="50"/>
      <x:c r="C19" s="50" t="str"/>
      <x:c r="D19" s="50" t="str"/>
      <x:c r="E19" s="50" t="str"/>
      <x:c r="F19" s="50" t="str"/>
      <x:c r="G19" s="50" t="str"/>
      <x:c r="H19" s="50" t="str"/>
      <x:c r="I19" s="50" t="str"/>
      <x:c r="J19" s="50" t="str"/>
      <x:c r="K19" s="61"/>
      <x:c r="L19" s="50" t="str">
        <x:v>待核</x:v>
      </x:c>
      <x:c r="M19" s="50" t="str">
        <x:v>待核</x:v>
      </x:c>
      <x:c r="N19" s="57" t="str">
        <x:f>IF(C19="","",IF(AND(F19&lt;&gt;"",G19&lt;&gt;"",H19&lt;&gt;"",I19&lt;&gt;"",L19="是",M19="否"),"计1项",IF(AND(H19&lt;&gt;"",I19&lt;&gt;"",L19="是",M19="否"),"中等证据","保守不计")))</x:f>
      </x:c>
      <x:c r="O19" s="57" t="n">
        <x:f>IF(OR(N19="计1项",N19="中等证据"),1,0)</x:f>
        <x:v>0</x:v>
      </x:c>
      <x:c r="P19" s="50" t="str"/>
    </x:row>
    <x:row r="20">
      <x:c r="A20" s="49" t="str">
        <x:v>CT16</x:v>
      </x:c>
      <x:c r="B20" s="50"/>
      <x:c r="C20" s="50" t="str"/>
      <x:c r="D20" s="50" t="str"/>
      <x:c r="E20" s="50" t="str"/>
      <x:c r="F20" s="50" t="str"/>
      <x:c r="G20" s="50" t="str"/>
      <x:c r="H20" s="50" t="str"/>
      <x:c r="I20" s="50" t="str"/>
      <x:c r="J20" s="50" t="str"/>
      <x:c r="K20" s="61"/>
      <x:c r="L20" s="50" t="str">
        <x:v>待核</x:v>
      </x:c>
      <x:c r="M20" s="50" t="str">
        <x:v>待核</x:v>
      </x:c>
      <x:c r="N20" s="57" t="str">
        <x:f>IF(C20="","",IF(AND(F20&lt;&gt;"",G20&lt;&gt;"",H20&lt;&gt;"",I20&lt;&gt;"",L20="是",M20="否"),"计1项",IF(AND(H20&lt;&gt;"",I20&lt;&gt;"",L20="是",M20="否"),"中等证据","保守不计")))</x:f>
      </x:c>
      <x:c r="O20" s="57" t="n">
        <x:f>IF(OR(N20="计1项",N20="中等证据"),1,0)</x:f>
        <x:v>0</x:v>
      </x:c>
      <x:c r="P20" s="50" t="str"/>
    </x:row>
    <x:row r="21">
      <x:c r="A21" s="49" t="str">
        <x:v>CT17</x:v>
      </x:c>
      <x:c r="B21" s="50"/>
      <x:c r="C21" s="50" t="str"/>
      <x:c r="D21" s="50" t="str"/>
      <x:c r="E21" s="50" t="str"/>
      <x:c r="F21" s="50" t="str"/>
      <x:c r="G21" s="50" t="str"/>
      <x:c r="H21" s="50" t="str"/>
      <x:c r="I21" s="50" t="str"/>
      <x:c r="J21" s="50" t="str"/>
      <x:c r="K21" s="61"/>
      <x:c r="L21" s="50" t="str">
        <x:v>待核</x:v>
      </x:c>
      <x:c r="M21" s="50" t="str">
        <x:v>待核</x:v>
      </x:c>
      <x:c r="N21" s="57" t="str">
        <x:f>IF(C21="","",IF(AND(F21&lt;&gt;"",G21&lt;&gt;"",H21&lt;&gt;"",I21&lt;&gt;"",L21="是",M21="否"),"计1项",IF(AND(H21&lt;&gt;"",I21&lt;&gt;"",L21="是",M21="否"),"中等证据","保守不计")))</x:f>
      </x:c>
      <x:c r="O21" s="57" t="n">
        <x:f>IF(OR(N21="计1项",N21="中等证据"),1,0)</x:f>
        <x:v>0</x:v>
      </x:c>
      <x:c r="P21" s="50" t="str"/>
    </x:row>
    <x:row r="22">
      <x:c r="A22" s="49" t="str">
        <x:v>CT18</x:v>
      </x:c>
      <x:c r="B22" s="50"/>
      <x:c r="C22" s="50" t="str"/>
      <x:c r="D22" s="50" t="str"/>
      <x:c r="E22" s="50" t="str"/>
      <x:c r="F22" s="50" t="str"/>
      <x:c r="G22" s="50" t="str"/>
      <x:c r="H22" s="50" t="str"/>
      <x:c r="I22" s="50" t="str"/>
      <x:c r="J22" s="50" t="str"/>
      <x:c r="K22" s="61"/>
      <x:c r="L22" s="50" t="str">
        <x:v>待核</x:v>
      </x:c>
      <x:c r="M22" s="50" t="str">
        <x:v>待核</x:v>
      </x:c>
      <x:c r="N22" s="57" t="str">
        <x:f>IF(C22="","",IF(AND(F22&lt;&gt;"",G22&lt;&gt;"",H22&lt;&gt;"",I22&lt;&gt;"",L22="是",M22="否"),"计1项",IF(AND(H22&lt;&gt;"",I22&lt;&gt;"",L22="是",M22="否"),"中等证据","保守不计")))</x:f>
      </x:c>
      <x:c r="O22" s="57" t="n">
        <x:f>IF(OR(N22="计1项",N22="中等证据"),1,0)</x:f>
        <x:v>0</x:v>
      </x:c>
      <x:c r="P22" s="50" t="str"/>
    </x:row>
    <x:row r="23">
      <x:c r="A23" s="49" t="str">
        <x:v>CT19</x:v>
      </x:c>
      <x:c r="B23" s="50"/>
      <x:c r="C23" s="50" t="str"/>
      <x:c r="D23" s="50" t="str"/>
      <x:c r="E23" s="50" t="str"/>
      <x:c r="F23" s="50" t="str"/>
      <x:c r="G23" s="50" t="str"/>
      <x:c r="H23" s="50" t="str"/>
      <x:c r="I23" s="50" t="str"/>
      <x:c r="J23" s="50" t="str"/>
      <x:c r="K23" s="61"/>
      <x:c r="L23" s="50" t="str">
        <x:v>待核</x:v>
      </x:c>
      <x:c r="M23" s="50" t="str">
        <x:v>待核</x:v>
      </x:c>
      <x:c r="N23" s="57" t="str">
        <x:f>IF(C23="","",IF(AND(F23&lt;&gt;"",G23&lt;&gt;"",H23&lt;&gt;"",I23&lt;&gt;"",L23="是",M23="否"),"计1项",IF(AND(H23&lt;&gt;"",I23&lt;&gt;"",L23="是",M23="否"),"中等证据","保守不计")))</x:f>
      </x:c>
      <x:c r="O23" s="57" t="n">
        <x:f>IF(OR(N23="计1项",N23="中等证据"),1,0)</x:f>
        <x:v>0</x:v>
      </x:c>
      <x:c r="P23" s="50" t="str"/>
    </x:row>
    <x:row r="24">
      <x:c r="A24" s="49" t="str">
        <x:v>CT20</x:v>
      </x:c>
      <x:c r="B24" s="50"/>
      <x:c r="C24" s="50" t="str"/>
      <x:c r="D24" s="50" t="str"/>
      <x:c r="E24" s="50" t="str"/>
      <x:c r="F24" s="50" t="str"/>
      <x:c r="G24" s="50" t="str"/>
      <x:c r="H24" s="50" t="str"/>
      <x:c r="I24" s="50" t="str"/>
      <x:c r="J24" s="50" t="str"/>
      <x:c r="K24" s="61"/>
      <x:c r="L24" s="50" t="str">
        <x:v>待核</x:v>
      </x:c>
      <x:c r="M24" s="50" t="str">
        <x:v>待核</x:v>
      </x:c>
      <x:c r="N24" s="57" t="str">
        <x:f>IF(C24="","",IF(AND(F24&lt;&gt;"",G24&lt;&gt;"",H24&lt;&gt;"",I24&lt;&gt;"",L24="是",M24="否"),"计1项",IF(AND(H24&lt;&gt;"",I24&lt;&gt;"",L24="是",M24="否"),"中等证据","保守不计")))</x:f>
      </x:c>
      <x:c r="O24" s="57" t="n">
        <x:f>IF(OR(N24="计1项",N24="中等证据"),1,0)</x:f>
        <x:v>0</x:v>
      </x:c>
      <x:c r="P24" s="50" t="str"/>
    </x:row>
    <x:row r="25">
      <x:c r="A25" s="49" t="str">
        <x:v>CT21</x:v>
      </x:c>
      <x:c r="B25" s="50"/>
      <x:c r="C25" s="50" t="str"/>
      <x:c r="D25" s="50" t="str"/>
      <x:c r="E25" s="50" t="str"/>
      <x:c r="F25" s="50" t="str"/>
      <x:c r="G25" s="50" t="str"/>
      <x:c r="H25" s="50" t="str"/>
      <x:c r="I25" s="50" t="str"/>
      <x:c r="J25" s="50" t="str"/>
      <x:c r="K25" s="61"/>
      <x:c r="L25" s="50" t="str">
        <x:v>待核</x:v>
      </x:c>
      <x:c r="M25" s="50" t="str">
        <x:v>待核</x:v>
      </x:c>
      <x:c r="N25" s="57" t="str">
        <x:f>IF(C25="","",IF(AND(F25&lt;&gt;"",G25&lt;&gt;"",H25&lt;&gt;"",I25&lt;&gt;"",L25="是",M25="否"),"计1项",IF(AND(H25&lt;&gt;"",I25&lt;&gt;"",L25="是",M25="否"),"中等证据","保守不计")))</x:f>
      </x:c>
      <x:c r="O25" s="57" t="n">
        <x:f>IF(OR(N25="计1项",N25="中等证据"),1,0)</x:f>
        <x:v>0</x:v>
      </x:c>
      <x:c r="P25" s="50" t="str"/>
    </x:row>
    <x:row r="26">
      <x:c r="A26" s="49" t="str">
        <x:v>CT22</x:v>
      </x:c>
      <x:c r="B26" s="50"/>
      <x:c r="C26" s="50" t="str"/>
      <x:c r="D26" s="50" t="str"/>
      <x:c r="E26" s="50" t="str"/>
      <x:c r="F26" s="50" t="str"/>
      <x:c r="G26" s="50" t="str"/>
      <x:c r="H26" s="50" t="str"/>
      <x:c r="I26" s="50" t="str"/>
      <x:c r="J26" s="50" t="str"/>
      <x:c r="K26" s="61"/>
      <x:c r="L26" s="50" t="str">
        <x:v>待核</x:v>
      </x:c>
      <x:c r="M26" s="50" t="str">
        <x:v>待核</x:v>
      </x:c>
      <x:c r="N26" s="57" t="str">
        <x:f>IF(C26="","",IF(AND(F26&lt;&gt;"",G26&lt;&gt;"",H26&lt;&gt;"",I26&lt;&gt;"",L26="是",M26="否"),"计1项",IF(AND(H26&lt;&gt;"",I26&lt;&gt;"",L26="是",M26="否"),"中等证据","保守不计")))</x:f>
      </x:c>
      <x:c r="O26" s="57" t="n">
        <x:f>IF(OR(N26="计1项",N26="中等证据"),1,0)</x:f>
        <x:v>0</x:v>
      </x:c>
      <x:c r="P26" s="50" t="str"/>
    </x:row>
    <x:row r="27">
      <x:c r="A27" s="49" t="str">
        <x:v>CT23</x:v>
      </x:c>
      <x:c r="B27" s="50"/>
      <x:c r="C27" s="50" t="str"/>
      <x:c r="D27" s="50" t="str"/>
      <x:c r="E27" s="50" t="str"/>
      <x:c r="F27" s="50" t="str"/>
      <x:c r="G27" s="50" t="str"/>
      <x:c r="H27" s="50" t="str"/>
      <x:c r="I27" s="50" t="str"/>
      <x:c r="J27" s="50" t="str"/>
      <x:c r="K27" s="61"/>
      <x:c r="L27" s="50" t="str">
        <x:v>待核</x:v>
      </x:c>
      <x:c r="M27" s="50" t="str">
        <x:v>待核</x:v>
      </x:c>
      <x:c r="N27" s="57" t="str">
        <x:f>IF(C27="","",IF(AND(F27&lt;&gt;"",G27&lt;&gt;"",H27&lt;&gt;"",I27&lt;&gt;"",L27="是",M27="否"),"计1项",IF(AND(H27&lt;&gt;"",I27&lt;&gt;"",L27="是",M27="否"),"中等证据","保守不计")))</x:f>
      </x:c>
      <x:c r="O27" s="57" t="n">
        <x:f>IF(OR(N27="计1项",N27="中等证据"),1,0)</x:f>
        <x:v>0</x:v>
      </x:c>
      <x:c r="P27" s="50" t="str"/>
    </x:row>
    <x:row r="28">
      <x:c r="A28" s="49" t="str">
        <x:v>CT24</x:v>
      </x:c>
      <x:c r="B28" s="50"/>
      <x:c r="C28" s="50" t="str"/>
      <x:c r="D28" s="50" t="str"/>
      <x:c r="E28" s="50" t="str"/>
      <x:c r="F28" s="50" t="str"/>
      <x:c r="G28" s="50" t="str"/>
      <x:c r="H28" s="50" t="str"/>
      <x:c r="I28" s="50" t="str"/>
      <x:c r="J28" s="50" t="str"/>
      <x:c r="K28" s="61"/>
      <x:c r="L28" s="50" t="str">
        <x:v>待核</x:v>
      </x:c>
      <x:c r="M28" s="50" t="str">
        <x:v>待核</x:v>
      </x:c>
      <x:c r="N28" s="57" t="str">
        <x:f>IF(C28="","",IF(AND(F28&lt;&gt;"",G28&lt;&gt;"",H28&lt;&gt;"",I28&lt;&gt;"",L28="是",M28="否"),"计1项",IF(AND(H28&lt;&gt;"",I28&lt;&gt;"",L28="是",M28="否"),"中等证据","保守不计")))</x:f>
      </x:c>
      <x:c r="O28" s="57" t="n">
        <x:f>IF(OR(N28="计1项",N28="中等证据"),1,0)</x:f>
        <x:v>0</x:v>
      </x:c>
      <x:c r="P28" s="50" t="str"/>
    </x:row>
    <x:row r="29">
      <x:c r="A29" s="49" t="str">
        <x:v>CT25</x:v>
      </x:c>
      <x:c r="B29" s="50"/>
      <x:c r="C29" s="50" t="str"/>
      <x:c r="D29" s="50" t="str"/>
      <x:c r="E29" s="50" t="str"/>
      <x:c r="F29" s="50" t="str"/>
      <x:c r="G29" s="50" t="str"/>
      <x:c r="H29" s="50" t="str"/>
      <x:c r="I29" s="50" t="str"/>
      <x:c r="J29" s="50" t="str"/>
      <x:c r="K29" s="61"/>
      <x:c r="L29" s="50" t="str">
        <x:v>待核</x:v>
      </x:c>
      <x:c r="M29" s="50" t="str">
        <x:v>待核</x:v>
      </x:c>
      <x:c r="N29" s="57" t="str">
        <x:f>IF(C29="","",IF(AND(F29&lt;&gt;"",G29&lt;&gt;"",H29&lt;&gt;"",I29&lt;&gt;"",L29="是",M29="否"),"计1项",IF(AND(H29&lt;&gt;"",I29&lt;&gt;"",L29="是",M29="否"),"中等证据","保守不计")))</x:f>
      </x:c>
      <x:c r="O29" s="57" t="n">
        <x:f>IF(OR(N29="计1项",N29="中等证据"),1,0)</x:f>
        <x:v>0</x:v>
      </x:c>
      <x:c r="P29" s="50" t="str"/>
    </x:row>
    <x:row r="30">
      <x:c r="A30" s="49" t="str">
        <x:v>CT26</x:v>
      </x:c>
      <x:c r="B30" s="50"/>
      <x:c r="C30" s="50" t="str"/>
      <x:c r="D30" s="50" t="str"/>
      <x:c r="E30" s="50" t="str"/>
      <x:c r="F30" s="50" t="str"/>
      <x:c r="G30" s="50" t="str"/>
      <x:c r="H30" s="50" t="str"/>
      <x:c r="I30" s="50" t="str"/>
      <x:c r="J30" s="50" t="str"/>
      <x:c r="K30" s="61"/>
      <x:c r="L30" s="50" t="str">
        <x:v>待核</x:v>
      </x:c>
      <x:c r="M30" s="50" t="str">
        <x:v>待核</x:v>
      </x:c>
      <x:c r="N30" s="57" t="str">
        <x:f>IF(C30="","",IF(AND(F30&lt;&gt;"",G30&lt;&gt;"",H30&lt;&gt;"",I30&lt;&gt;"",L30="是",M30="否"),"计1项",IF(AND(H30&lt;&gt;"",I30&lt;&gt;"",L30="是",M30="否"),"中等证据","保守不计")))</x:f>
      </x:c>
      <x:c r="O30" s="57" t="n">
        <x:f>IF(OR(N30="计1项",N30="中等证据"),1,0)</x:f>
        <x:v>0</x:v>
      </x:c>
      <x:c r="P30" s="50" t="str"/>
    </x:row>
    <x:row r="31">
      <x:c r="A31" s="49" t="str">
        <x:v>CT27</x:v>
      </x:c>
      <x:c r="B31" s="50"/>
      <x:c r="C31" s="50" t="str"/>
      <x:c r="D31" s="50" t="str"/>
      <x:c r="E31" s="50" t="str"/>
      <x:c r="F31" s="50" t="str"/>
      <x:c r="G31" s="50" t="str"/>
      <x:c r="H31" s="50" t="str"/>
      <x:c r="I31" s="50" t="str"/>
      <x:c r="J31" s="50" t="str"/>
      <x:c r="K31" s="61"/>
      <x:c r="L31" s="50" t="str">
        <x:v>待核</x:v>
      </x:c>
      <x:c r="M31" s="50" t="str">
        <x:v>待核</x:v>
      </x:c>
      <x:c r="N31" s="57" t="str">
        <x:f>IF(C31="","",IF(AND(F31&lt;&gt;"",G31&lt;&gt;"",H31&lt;&gt;"",I31&lt;&gt;"",L31="是",M31="否"),"计1项",IF(AND(H31&lt;&gt;"",I31&lt;&gt;"",L31="是",M31="否"),"中等证据","保守不计")))</x:f>
      </x:c>
      <x:c r="O31" s="57" t="n">
        <x:f>IF(OR(N31="计1项",N31="中等证据"),1,0)</x:f>
        <x:v>0</x:v>
      </x:c>
      <x:c r="P31" s="50" t="str"/>
    </x:row>
    <x:row r="32">
      <x:c r="A32" s="49" t="str">
        <x:v>CT28</x:v>
      </x:c>
      <x:c r="B32" s="50"/>
      <x:c r="C32" s="50" t="str"/>
      <x:c r="D32" s="50" t="str"/>
      <x:c r="E32" s="50" t="str"/>
      <x:c r="F32" s="50" t="str"/>
      <x:c r="G32" s="50" t="str"/>
      <x:c r="H32" s="50" t="str"/>
      <x:c r="I32" s="50" t="str"/>
      <x:c r="J32" s="50" t="str"/>
      <x:c r="K32" s="61"/>
      <x:c r="L32" s="50" t="str">
        <x:v>待核</x:v>
      </x:c>
      <x:c r="M32" s="50" t="str">
        <x:v>待核</x:v>
      </x:c>
      <x:c r="N32" s="57" t="str">
        <x:f>IF(C32="","",IF(AND(F32&lt;&gt;"",G32&lt;&gt;"",H32&lt;&gt;"",I32&lt;&gt;"",L32="是",M32="否"),"计1项",IF(AND(H32&lt;&gt;"",I32&lt;&gt;"",L32="是",M32="否"),"中等证据","保守不计")))</x:f>
      </x:c>
      <x:c r="O32" s="57" t="n">
        <x:f>IF(OR(N32="计1项",N32="中等证据"),1,0)</x:f>
        <x:v>0</x:v>
      </x:c>
      <x:c r="P32" s="50" t="str"/>
    </x:row>
    <x:row r="33">
      <x:c r="A33" s="49" t="str">
        <x:v>CT29</x:v>
      </x:c>
      <x:c r="B33" s="50"/>
      <x:c r="C33" s="50" t="str"/>
      <x:c r="D33" s="50" t="str"/>
      <x:c r="E33" s="50" t="str"/>
      <x:c r="F33" s="50" t="str"/>
      <x:c r="G33" s="50" t="str"/>
      <x:c r="H33" s="50" t="str"/>
      <x:c r="I33" s="50" t="str"/>
      <x:c r="J33" s="50" t="str"/>
      <x:c r="K33" s="61"/>
      <x:c r="L33" s="50" t="str">
        <x:v>待核</x:v>
      </x:c>
      <x:c r="M33" s="50" t="str">
        <x:v>待核</x:v>
      </x:c>
      <x:c r="N33" s="57" t="str">
        <x:f>IF(C33="","",IF(AND(F33&lt;&gt;"",G33&lt;&gt;"",H33&lt;&gt;"",I33&lt;&gt;"",L33="是",M33="否"),"计1项",IF(AND(H33&lt;&gt;"",I33&lt;&gt;"",L33="是",M33="否"),"中等证据","保守不计")))</x:f>
      </x:c>
      <x:c r="O33" s="57" t="n">
        <x:f>IF(OR(N33="计1项",N33="中等证据"),1,0)</x:f>
        <x:v>0</x:v>
      </x:c>
      <x:c r="P33" s="50" t="str"/>
    </x:row>
    <x:row r="34">
      <x:c r="A34" s="49" t="str">
        <x:v>CT30</x:v>
      </x:c>
      <x:c r="B34" s="50"/>
      <x:c r="C34" s="50" t="str"/>
      <x:c r="D34" s="50" t="str"/>
      <x:c r="E34" s="50" t="str"/>
      <x:c r="F34" s="50" t="str"/>
      <x:c r="G34" s="50" t="str"/>
      <x:c r="H34" s="50" t="str"/>
      <x:c r="I34" s="50" t="str"/>
      <x:c r="J34" s="50" t="str"/>
      <x:c r="K34" s="61"/>
      <x:c r="L34" s="50" t="str">
        <x:v>待核</x:v>
      </x:c>
      <x:c r="M34" s="50" t="str">
        <x:v>待核</x:v>
      </x:c>
      <x:c r="N34" s="57" t="str">
        <x:f>IF(C34="","",IF(AND(F34&lt;&gt;"",G34&lt;&gt;"",H34&lt;&gt;"",I34&lt;&gt;"",L34="是",M34="否"),"计1项",IF(AND(H34&lt;&gt;"",I34&lt;&gt;"",L34="是",M34="否"),"中等证据","保守不计")))</x:f>
      </x:c>
      <x:c r="O34" s="57" t="n">
        <x:f>IF(OR(N34="计1项",N34="中等证据"),1,0)</x:f>
        <x:v>0</x:v>
      </x:c>
      <x:c r="P34" s="50" t="str"/>
    </x:row>
    <x:row r="35">
      <x:c r="A35" s="49" t="str">
        <x:v>CT31</x:v>
      </x:c>
      <x:c r="B35" s="50"/>
      <x:c r="C35" s="50" t="str"/>
      <x:c r="D35" s="50" t="str"/>
      <x:c r="E35" s="50" t="str"/>
      <x:c r="F35" s="50" t="str"/>
      <x:c r="G35" s="50" t="str"/>
      <x:c r="H35" s="50" t="str"/>
      <x:c r="I35" s="50" t="str"/>
      <x:c r="J35" s="50" t="str"/>
      <x:c r="K35" s="61"/>
      <x:c r="L35" s="50" t="str">
        <x:v>待核</x:v>
      </x:c>
      <x:c r="M35" s="50" t="str">
        <x:v>待核</x:v>
      </x:c>
      <x:c r="N35" s="57" t="str">
        <x:f>IF(C35="","",IF(AND(F35&lt;&gt;"",G35&lt;&gt;"",H35&lt;&gt;"",I35&lt;&gt;"",L35="是",M35="否"),"计1项",IF(AND(H35&lt;&gt;"",I35&lt;&gt;"",L35="是",M35="否"),"中等证据","保守不计")))</x:f>
      </x:c>
      <x:c r="O35" s="57" t="n">
        <x:f>IF(OR(N35="计1项",N35="中等证据"),1,0)</x:f>
        <x:v>0</x:v>
      </x:c>
      <x:c r="P35" s="50" t="str"/>
    </x:row>
    <x:row r="36">
      <x:c r="A36" s="49" t="str">
        <x:v>CT32</x:v>
      </x:c>
      <x:c r="B36" s="50"/>
      <x:c r="C36" s="50" t="str"/>
      <x:c r="D36" s="50" t="str"/>
      <x:c r="E36" s="50" t="str"/>
      <x:c r="F36" s="50" t="str"/>
      <x:c r="G36" s="50" t="str"/>
      <x:c r="H36" s="50" t="str"/>
      <x:c r="I36" s="50" t="str"/>
      <x:c r="J36" s="50" t="str"/>
      <x:c r="K36" s="61"/>
      <x:c r="L36" s="50" t="str">
        <x:v>待核</x:v>
      </x:c>
      <x:c r="M36" s="50" t="str">
        <x:v>待核</x:v>
      </x:c>
      <x:c r="N36" s="57" t="str">
        <x:f>IF(C36="","",IF(AND(F36&lt;&gt;"",G36&lt;&gt;"",H36&lt;&gt;"",I36&lt;&gt;"",L36="是",M36="否"),"计1项",IF(AND(H36&lt;&gt;"",I36&lt;&gt;"",L36="是",M36="否"),"中等证据","保守不计")))</x:f>
      </x:c>
      <x:c r="O36" s="57" t="n">
        <x:f>IF(OR(N36="计1项",N36="中等证据"),1,0)</x:f>
        <x:v>0</x:v>
      </x:c>
      <x:c r="P36" s="50" t="str"/>
    </x:row>
    <x:row r="37">
      <x:c r="A37" s="49" t="str">
        <x:v>CT33</x:v>
      </x:c>
      <x:c r="B37" s="50"/>
      <x:c r="C37" s="50" t="str"/>
      <x:c r="D37" s="50" t="str"/>
      <x:c r="E37" s="50" t="str"/>
      <x:c r="F37" s="50" t="str"/>
      <x:c r="G37" s="50" t="str"/>
      <x:c r="H37" s="50" t="str"/>
      <x:c r="I37" s="50" t="str"/>
      <x:c r="J37" s="50" t="str"/>
      <x:c r="K37" s="61"/>
      <x:c r="L37" s="50" t="str">
        <x:v>待核</x:v>
      </x:c>
      <x:c r="M37" s="50" t="str">
        <x:v>待核</x:v>
      </x:c>
      <x:c r="N37" s="57" t="str">
        <x:f>IF(C37="","",IF(AND(F37&lt;&gt;"",G37&lt;&gt;"",H37&lt;&gt;"",I37&lt;&gt;"",L37="是",M37="否"),"计1项",IF(AND(H37&lt;&gt;"",I37&lt;&gt;"",L37="是",M37="否"),"中等证据","保守不计")))</x:f>
      </x:c>
      <x:c r="O37" s="57" t="n">
        <x:f>IF(OR(N37="计1项",N37="中等证据"),1,0)</x:f>
        <x:v>0</x:v>
      </x:c>
      <x:c r="P37" s="50" t="str"/>
    </x:row>
    <x:row r="38">
      <x:c r="A38" s="49" t="str">
        <x:v>CT34</x:v>
      </x:c>
      <x:c r="B38" s="50"/>
      <x:c r="C38" s="50" t="str"/>
      <x:c r="D38" s="50" t="str"/>
      <x:c r="E38" s="50" t="str"/>
      <x:c r="F38" s="50" t="str"/>
      <x:c r="G38" s="50" t="str"/>
      <x:c r="H38" s="50" t="str"/>
      <x:c r="I38" s="50" t="str"/>
      <x:c r="J38" s="50" t="str"/>
      <x:c r="K38" s="61"/>
      <x:c r="L38" s="50" t="str">
        <x:v>待核</x:v>
      </x:c>
      <x:c r="M38" s="50" t="str">
        <x:v>待核</x:v>
      </x:c>
      <x:c r="N38" s="57" t="str">
        <x:f>IF(C38="","",IF(AND(F38&lt;&gt;"",G38&lt;&gt;"",H38&lt;&gt;"",I38&lt;&gt;"",L38="是",M38="否"),"计1项",IF(AND(H38&lt;&gt;"",I38&lt;&gt;"",L38="是",M38="否"),"中等证据","保守不计")))</x:f>
      </x:c>
      <x:c r="O38" s="57" t="n">
        <x:f>IF(OR(N38="计1项",N38="中等证据"),1,0)</x:f>
        <x:v>0</x:v>
      </x:c>
      <x:c r="P38" s="50" t="str"/>
    </x:row>
    <x:row r="39">
      <x:c r="A39" s="49" t="str">
        <x:v>CT35</x:v>
      </x:c>
      <x:c r="B39" s="50"/>
      <x:c r="C39" s="50" t="str"/>
      <x:c r="D39" s="50" t="str"/>
      <x:c r="E39" s="50" t="str"/>
      <x:c r="F39" s="50" t="str"/>
      <x:c r="G39" s="50" t="str"/>
      <x:c r="H39" s="50" t="str"/>
      <x:c r="I39" s="50" t="str"/>
      <x:c r="J39" s="50" t="str"/>
      <x:c r="K39" s="61"/>
      <x:c r="L39" s="50" t="str">
        <x:v>待核</x:v>
      </x:c>
      <x:c r="M39" s="50" t="str">
        <x:v>待核</x:v>
      </x:c>
      <x:c r="N39" s="57" t="str">
        <x:f>IF(C39="","",IF(AND(F39&lt;&gt;"",G39&lt;&gt;"",H39&lt;&gt;"",I39&lt;&gt;"",L39="是",M39="否"),"计1项",IF(AND(H39&lt;&gt;"",I39&lt;&gt;"",L39="是",M39="否"),"中等证据","保守不计")))</x:f>
      </x:c>
      <x:c r="O39" s="57" t="n">
        <x:f>IF(OR(N39="计1项",N39="中等证据"),1,0)</x:f>
        <x:v>0</x:v>
      </x:c>
      <x:c r="P39" s="50" t="str"/>
    </x:row>
    <x:row r="40">
      <x:c r="A40" s="49" t="str">
        <x:v>CT36</x:v>
      </x:c>
      <x:c r="B40" s="50"/>
      <x:c r="C40" s="50" t="str"/>
      <x:c r="D40" s="50" t="str"/>
      <x:c r="E40" s="50" t="str"/>
      <x:c r="F40" s="50" t="str"/>
      <x:c r="G40" s="50" t="str"/>
      <x:c r="H40" s="50" t="str"/>
      <x:c r="I40" s="50" t="str"/>
      <x:c r="J40" s="50" t="str"/>
      <x:c r="K40" s="61"/>
      <x:c r="L40" s="50" t="str">
        <x:v>待核</x:v>
      </x:c>
      <x:c r="M40" s="50" t="str">
        <x:v>待核</x:v>
      </x:c>
      <x:c r="N40" s="57" t="str">
        <x:f>IF(C40="","",IF(AND(F40&lt;&gt;"",G40&lt;&gt;"",H40&lt;&gt;"",I40&lt;&gt;"",L40="是",M40="否"),"计1项",IF(AND(H40&lt;&gt;"",I40&lt;&gt;"",L40="是",M40="否"),"中等证据","保守不计")))</x:f>
      </x:c>
      <x:c r="O40" s="57" t="n">
        <x:f>IF(OR(N40="计1项",N40="中等证据"),1,0)</x:f>
        <x:v>0</x:v>
      </x:c>
      <x:c r="P40" s="50" t="str"/>
    </x:row>
    <x:row r="41">
      <x:c r="A41" s="49" t="str">
        <x:v>CT37</x:v>
      </x:c>
      <x:c r="B41" s="50"/>
      <x:c r="C41" s="50" t="str"/>
      <x:c r="D41" s="50" t="str"/>
      <x:c r="E41" s="50" t="str"/>
      <x:c r="F41" s="50" t="str"/>
      <x:c r="G41" s="50" t="str"/>
      <x:c r="H41" s="50" t="str"/>
      <x:c r="I41" s="50" t="str"/>
      <x:c r="J41" s="50" t="str"/>
      <x:c r="K41" s="61"/>
      <x:c r="L41" s="50" t="str">
        <x:v>待核</x:v>
      </x:c>
      <x:c r="M41" s="50" t="str">
        <x:v>待核</x:v>
      </x:c>
      <x:c r="N41" s="57" t="str">
        <x:f>IF(C41="","",IF(AND(F41&lt;&gt;"",G41&lt;&gt;"",H41&lt;&gt;"",I41&lt;&gt;"",L41="是",M41="否"),"计1项",IF(AND(H41&lt;&gt;"",I41&lt;&gt;"",L41="是",M41="否"),"中等证据","保守不计")))</x:f>
      </x:c>
      <x:c r="O41" s="57" t="n">
        <x:f>IF(OR(N41="计1项",N41="中等证据"),1,0)</x:f>
        <x:v>0</x:v>
      </x:c>
      <x:c r="P41" s="50" t="str"/>
    </x:row>
    <x:row r="42">
      <x:c r="A42" s="49" t="str">
        <x:v>CT38</x:v>
      </x:c>
      <x:c r="B42" s="50"/>
      <x:c r="C42" s="50" t="str"/>
      <x:c r="D42" s="50" t="str"/>
      <x:c r="E42" s="50" t="str"/>
      <x:c r="F42" s="50" t="str"/>
      <x:c r="G42" s="50" t="str"/>
      <x:c r="H42" s="50" t="str"/>
      <x:c r="I42" s="50" t="str"/>
      <x:c r="J42" s="50" t="str"/>
      <x:c r="K42" s="61"/>
      <x:c r="L42" s="50" t="str">
        <x:v>待核</x:v>
      </x:c>
      <x:c r="M42" s="50" t="str">
        <x:v>待核</x:v>
      </x:c>
      <x:c r="N42" s="57" t="str">
        <x:f>IF(C42="","",IF(AND(F42&lt;&gt;"",G42&lt;&gt;"",H42&lt;&gt;"",I42&lt;&gt;"",L42="是",M42="否"),"计1项",IF(AND(H42&lt;&gt;"",I42&lt;&gt;"",L42="是",M42="否"),"中等证据","保守不计")))</x:f>
      </x:c>
      <x:c r="O42" s="57" t="n">
        <x:f>IF(OR(N42="计1项",N42="中等证据"),1,0)</x:f>
        <x:v>0</x:v>
      </x:c>
      <x:c r="P42" s="50" t="str"/>
    </x:row>
    <x:row r="43">
      <x:c r="A43" s="49" t="str">
        <x:v>CT39</x:v>
      </x:c>
      <x:c r="B43" s="50"/>
      <x:c r="C43" s="50" t="str"/>
      <x:c r="D43" s="50" t="str"/>
      <x:c r="E43" s="50" t="str"/>
      <x:c r="F43" s="50" t="str"/>
      <x:c r="G43" s="50" t="str"/>
      <x:c r="H43" s="50" t="str"/>
      <x:c r="I43" s="50" t="str"/>
      <x:c r="J43" s="50" t="str"/>
      <x:c r="K43" s="61"/>
      <x:c r="L43" s="50" t="str">
        <x:v>待核</x:v>
      </x:c>
      <x:c r="M43" s="50" t="str">
        <x:v>待核</x:v>
      </x:c>
      <x:c r="N43" s="57" t="str">
        <x:f>IF(C43="","",IF(AND(F43&lt;&gt;"",G43&lt;&gt;"",H43&lt;&gt;"",I43&lt;&gt;"",L43="是",M43="否"),"计1项",IF(AND(H43&lt;&gt;"",I43&lt;&gt;"",L43="是",M43="否"),"中等证据","保守不计")))</x:f>
      </x:c>
      <x:c r="O43" s="57" t="n">
        <x:f>IF(OR(N43="计1项",N43="中等证据"),1,0)</x:f>
        <x:v>0</x:v>
      </x:c>
      <x:c r="P43" s="50" t="str"/>
    </x:row>
    <x:row r="44">
      <x:c r="A44" s="49" t="str">
        <x:v>CT40</x:v>
      </x:c>
      <x:c r="B44" s="50"/>
      <x:c r="C44" s="50" t="str"/>
      <x:c r="D44" s="50" t="str"/>
      <x:c r="E44" s="50" t="str"/>
      <x:c r="F44" s="50" t="str"/>
      <x:c r="G44" s="50" t="str"/>
      <x:c r="H44" s="50" t="str"/>
      <x:c r="I44" s="50" t="str"/>
      <x:c r="J44" s="50" t="str"/>
      <x:c r="K44" s="61"/>
      <x:c r="L44" s="50" t="str">
        <x:v>待核</x:v>
      </x:c>
      <x:c r="M44" s="50" t="str">
        <x:v>待核</x:v>
      </x:c>
      <x:c r="N44" s="57" t="str">
        <x:f>IF(C44="","",IF(AND(F44&lt;&gt;"",G44&lt;&gt;"",H44&lt;&gt;"",I44&lt;&gt;"",L44="是",M44="否"),"计1项",IF(AND(H44&lt;&gt;"",I44&lt;&gt;"",L44="是",M44="否"),"中等证据","保守不计")))</x:f>
      </x:c>
      <x:c r="O44" s="57" t="n">
        <x:f>IF(OR(N44="计1项",N44="中等证据"),1,0)</x:f>
        <x:v>0</x:v>
      </x:c>
      <x:c r="P44" s="50" t="str"/>
    </x:row>
    <x:row r="45">
      <x:c r="A45" s="49" t="str">
        <x:v>CT41</x:v>
      </x:c>
      <x:c r="B45" s="50"/>
      <x:c r="C45" s="50" t="str"/>
      <x:c r="D45" s="50" t="str"/>
      <x:c r="E45" s="50" t="str"/>
      <x:c r="F45" s="50" t="str"/>
      <x:c r="G45" s="50" t="str"/>
      <x:c r="H45" s="50" t="str"/>
      <x:c r="I45" s="50" t="str"/>
      <x:c r="J45" s="50" t="str"/>
      <x:c r="K45" s="61"/>
      <x:c r="L45" s="50" t="str">
        <x:v>待核</x:v>
      </x:c>
      <x:c r="M45" s="50" t="str">
        <x:v>待核</x:v>
      </x:c>
      <x:c r="N45" s="57" t="str">
        <x:f>IF(C45="","",IF(AND(F45&lt;&gt;"",G45&lt;&gt;"",H45&lt;&gt;"",I45&lt;&gt;"",L45="是",M45="否"),"计1项",IF(AND(H45&lt;&gt;"",I45&lt;&gt;"",L45="是",M45="否"),"中等证据","保守不计")))</x:f>
      </x:c>
      <x:c r="O45" s="57" t="n">
        <x:f>IF(OR(N45="计1项",N45="中等证据"),1,0)</x:f>
        <x:v>0</x:v>
      </x:c>
      <x:c r="P45" s="50" t="str"/>
    </x:row>
    <x:row r="46">
      <x:c r="A46" s="49" t="str">
        <x:v>CT42</x:v>
      </x:c>
      <x:c r="B46" s="50"/>
      <x:c r="C46" s="50" t="str"/>
      <x:c r="D46" s="50" t="str"/>
      <x:c r="E46" s="50" t="str"/>
      <x:c r="F46" s="50" t="str"/>
      <x:c r="G46" s="50" t="str"/>
      <x:c r="H46" s="50" t="str"/>
      <x:c r="I46" s="50" t="str"/>
      <x:c r="J46" s="50" t="str"/>
      <x:c r="K46" s="61"/>
      <x:c r="L46" s="50" t="str">
        <x:v>待核</x:v>
      </x:c>
      <x:c r="M46" s="50" t="str">
        <x:v>待核</x:v>
      </x:c>
      <x:c r="N46" s="57" t="str">
        <x:f>IF(C46="","",IF(AND(F46&lt;&gt;"",G46&lt;&gt;"",H46&lt;&gt;"",I46&lt;&gt;"",L46="是",M46="否"),"计1项",IF(AND(H46&lt;&gt;"",I46&lt;&gt;"",L46="是",M46="否"),"中等证据","保守不计")))</x:f>
      </x:c>
      <x:c r="O46" s="57" t="n">
        <x:f>IF(OR(N46="计1项",N46="中等证据"),1,0)</x:f>
        <x:v>0</x:v>
      </x:c>
      <x:c r="P46" s="50" t="str"/>
    </x:row>
    <x:row r="47">
      <x:c r="A47" s="49" t="str">
        <x:v>CT43</x:v>
      </x:c>
      <x:c r="B47" s="50"/>
      <x:c r="C47" s="50" t="str"/>
      <x:c r="D47" s="50" t="str"/>
      <x:c r="E47" s="50" t="str"/>
      <x:c r="F47" s="50" t="str"/>
      <x:c r="G47" s="50" t="str"/>
      <x:c r="H47" s="50" t="str"/>
      <x:c r="I47" s="50" t="str"/>
      <x:c r="J47" s="50" t="str"/>
      <x:c r="K47" s="61"/>
      <x:c r="L47" s="50" t="str">
        <x:v>待核</x:v>
      </x:c>
      <x:c r="M47" s="50" t="str">
        <x:v>待核</x:v>
      </x:c>
      <x:c r="N47" s="57" t="str">
        <x:f>IF(C47="","",IF(AND(F47&lt;&gt;"",G47&lt;&gt;"",H47&lt;&gt;"",I47&lt;&gt;"",L47="是",M47="否"),"计1项",IF(AND(H47&lt;&gt;"",I47&lt;&gt;"",L47="是",M47="否"),"中等证据","保守不计")))</x:f>
      </x:c>
      <x:c r="O47" s="57" t="n">
        <x:f>IF(OR(N47="计1项",N47="中等证据"),1,0)</x:f>
        <x:v>0</x:v>
      </x:c>
      <x:c r="P47" s="50" t="str"/>
    </x:row>
    <x:row r="48">
      <x:c r="A48" s="49" t="str">
        <x:v>CT44</x:v>
      </x:c>
      <x:c r="B48" s="50"/>
      <x:c r="C48" s="50" t="str"/>
      <x:c r="D48" s="50" t="str"/>
      <x:c r="E48" s="50" t="str"/>
      <x:c r="F48" s="50" t="str"/>
      <x:c r="G48" s="50" t="str"/>
      <x:c r="H48" s="50" t="str"/>
      <x:c r="I48" s="50" t="str"/>
      <x:c r="J48" s="50" t="str"/>
      <x:c r="K48" s="61"/>
      <x:c r="L48" s="50" t="str">
        <x:v>待核</x:v>
      </x:c>
      <x:c r="M48" s="50" t="str">
        <x:v>待核</x:v>
      </x:c>
      <x:c r="N48" s="57" t="str">
        <x:f>IF(C48="","",IF(AND(F48&lt;&gt;"",G48&lt;&gt;"",H48&lt;&gt;"",I48&lt;&gt;"",L48="是",M48="否"),"计1项",IF(AND(H48&lt;&gt;"",I48&lt;&gt;"",L48="是",M48="否"),"中等证据","保守不计")))</x:f>
      </x:c>
      <x:c r="O48" s="57" t="n">
        <x:f>IF(OR(N48="计1项",N48="中等证据"),1,0)</x:f>
        <x:v>0</x:v>
      </x:c>
      <x:c r="P48" s="50" t="str"/>
    </x:row>
    <x:row r="49">
      <x:c r="A49" s="49" t="str">
        <x:v>CT45</x:v>
      </x:c>
      <x:c r="B49" s="50"/>
      <x:c r="C49" s="50" t="str"/>
      <x:c r="D49" s="50" t="str"/>
      <x:c r="E49" s="50" t="str"/>
      <x:c r="F49" s="50" t="str"/>
      <x:c r="G49" s="50" t="str"/>
      <x:c r="H49" s="50" t="str"/>
      <x:c r="I49" s="50" t="str"/>
      <x:c r="J49" s="50" t="str"/>
      <x:c r="K49" s="61"/>
      <x:c r="L49" s="50" t="str">
        <x:v>待核</x:v>
      </x:c>
      <x:c r="M49" s="50" t="str">
        <x:v>待核</x:v>
      </x:c>
      <x:c r="N49" s="57" t="str">
        <x:f>IF(C49="","",IF(AND(F49&lt;&gt;"",G49&lt;&gt;"",H49&lt;&gt;"",I49&lt;&gt;"",L49="是",M49="否"),"计1项",IF(AND(H49&lt;&gt;"",I49&lt;&gt;"",L49="是",M49="否"),"中等证据","保守不计")))</x:f>
      </x:c>
      <x:c r="O49" s="57" t="n">
        <x:f>IF(OR(N49="计1项",N49="中等证据"),1,0)</x:f>
        <x:v>0</x:v>
      </x:c>
      <x:c r="P49" s="50" t="str"/>
    </x:row>
    <x:row r="50">
      <x:c r="A50" s="49" t="str">
        <x:v>CT46</x:v>
      </x:c>
      <x:c r="B50" s="50"/>
      <x:c r="C50" s="50" t="str"/>
      <x:c r="D50" s="50" t="str"/>
      <x:c r="E50" s="50" t="str"/>
      <x:c r="F50" s="50" t="str"/>
      <x:c r="G50" s="50" t="str"/>
      <x:c r="H50" s="50" t="str"/>
      <x:c r="I50" s="50" t="str"/>
      <x:c r="J50" s="50" t="str"/>
      <x:c r="K50" s="61"/>
      <x:c r="L50" s="50" t="str">
        <x:v>待核</x:v>
      </x:c>
      <x:c r="M50" s="50" t="str">
        <x:v>待核</x:v>
      </x:c>
      <x:c r="N50" s="57" t="str">
        <x:f>IF(C50="","",IF(AND(F50&lt;&gt;"",G50&lt;&gt;"",H50&lt;&gt;"",I50&lt;&gt;"",L50="是",M50="否"),"计1项",IF(AND(H50&lt;&gt;"",I50&lt;&gt;"",L50="是",M50="否"),"中等证据","保守不计")))</x:f>
      </x:c>
      <x:c r="O50" s="57" t="n">
        <x:f>IF(OR(N50="计1项",N50="中等证据"),1,0)</x:f>
        <x:v>0</x:v>
      </x:c>
      <x:c r="P50" s="50" t="str"/>
    </x:row>
    <x:row r="51">
      <x:c r="A51" s="49" t="str">
        <x:v>CT47</x:v>
      </x:c>
      <x:c r="B51" s="50"/>
      <x:c r="C51" s="50" t="str"/>
      <x:c r="D51" s="50" t="str"/>
      <x:c r="E51" s="50" t="str"/>
      <x:c r="F51" s="50" t="str"/>
      <x:c r="G51" s="50" t="str"/>
      <x:c r="H51" s="50" t="str"/>
      <x:c r="I51" s="50" t="str"/>
      <x:c r="J51" s="50" t="str"/>
      <x:c r="K51" s="61"/>
      <x:c r="L51" s="50" t="str">
        <x:v>待核</x:v>
      </x:c>
      <x:c r="M51" s="50" t="str">
        <x:v>待核</x:v>
      </x:c>
      <x:c r="N51" s="57" t="str">
        <x:f>IF(C51="","",IF(AND(F51&lt;&gt;"",G51&lt;&gt;"",H51&lt;&gt;"",I51&lt;&gt;"",L51="是",M51="否"),"计1项",IF(AND(H51&lt;&gt;"",I51&lt;&gt;"",L51="是",M51="否"),"中等证据","保守不计")))</x:f>
      </x:c>
      <x:c r="O51" s="57" t="n">
        <x:f>IF(OR(N51="计1项",N51="中等证据"),1,0)</x:f>
        <x:v>0</x:v>
      </x:c>
      <x:c r="P51" s="50" t="str"/>
    </x:row>
    <x:row r="52">
      <x:c r="A52" s="49" t="str">
        <x:v>CT48</x:v>
      </x:c>
      <x:c r="B52" s="50"/>
      <x:c r="C52" s="50" t="str"/>
      <x:c r="D52" s="50" t="str"/>
      <x:c r="E52" s="50" t="str"/>
      <x:c r="F52" s="50" t="str"/>
      <x:c r="G52" s="50" t="str"/>
      <x:c r="H52" s="50" t="str"/>
      <x:c r="I52" s="50" t="str"/>
      <x:c r="J52" s="50" t="str"/>
      <x:c r="K52" s="61"/>
      <x:c r="L52" s="50" t="str">
        <x:v>待核</x:v>
      </x:c>
      <x:c r="M52" s="50" t="str">
        <x:v>待核</x:v>
      </x:c>
      <x:c r="N52" s="57" t="str">
        <x:f>IF(C52="","",IF(AND(F52&lt;&gt;"",G52&lt;&gt;"",H52&lt;&gt;"",I52&lt;&gt;"",L52="是",M52="否"),"计1项",IF(AND(H52&lt;&gt;"",I52&lt;&gt;"",L52="是",M52="否"),"中等证据","保守不计")))</x:f>
      </x:c>
      <x:c r="O52" s="57" t="n">
        <x:f>IF(OR(N52="计1项",N52="中等证据"),1,0)</x:f>
        <x:v>0</x:v>
      </x:c>
      <x:c r="P52" s="50" t="str"/>
    </x:row>
    <x:row r="53">
      <x:c r="A53" s="49" t="str">
        <x:v>CT49</x:v>
      </x:c>
      <x:c r="B53" s="50"/>
      <x:c r="C53" s="50" t="str"/>
      <x:c r="D53" s="50" t="str"/>
      <x:c r="E53" s="50" t="str"/>
      <x:c r="F53" s="50" t="str"/>
      <x:c r="G53" s="50" t="str"/>
      <x:c r="H53" s="50" t="str"/>
      <x:c r="I53" s="50" t="str"/>
      <x:c r="J53" s="50" t="str"/>
      <x:c r="K53" s="61"/>
      <x:c r="L53" s="50" t="str">
        <x:v>待核</x:v>
      </x:c>
      <x:c r="M53" s="50" t="str">
        <x:v>待核</x:v>
      </x:c>
      <x:c r="N53" s="57" t="str">
        <x:f>IF(C53="","",IF(AND(F53&lt;&gt;"",G53&lt;&gt;"",H53&lt;&gt;"",I53&lt;&gt;"",L53="是",M53="否"),"计1项",IF(AND(H53&lt;&gt;"",I53&lt;&gt;"",L53="是",M53="否"),"中等证据","保守不计")))</x:f>
      </x:c>
      <x:c r="O53" s="57" t="n">
        <x:f>IF(OR(N53="计1项",N53="中等证据"),1,0)</x:f>
        <x:v>0</x:v>
      </x:c>
      <x:c r="P53" s="50" t="str"/>
    </x:row>
    <x:row r="54">
      <x:c r="A54" s="49" t="str">
        <x:v>CT50</x:v>
      </x:c>
      <x:c r="B54" s="50"/>
      <x:c r="C54" s="50" t="str"/>
      <x:c r="D54" s="50" t="str"/>
      <x:c r="E54" s="50" t="str"/>
      <x:c r="F54" s="50" t="str"/>
      <x:c r="G54" s="50" t="str"/>
      <x:c r="H54" s="50" t="str"/>
      <x:c r="I54" s="50" t="str"/>
      <x:c r="J54" s="50" t="str"/>
      <x:c r="K54" s="61"/>
      <x:c r="L54" s="50" t="str">
        <x:v>待核</x:v>
      </x:c>
      <x:c r="M54" s="50" t="str">
        <x:v>待核</x:v>
      </x:c>
      <x:c r="N54" s="57" t="str">
        <x:f>IF(C54="","",IF(AND(F54&lt;&gt;"",G54&lt;&gt;"",H54&lt;&gt;"",I54&lt;&gt;"",L54="是",M54="否"),"计1项",IF(AND(H54&lt;&gt;"",I54&lt;&gt;"",L54="是",M54="否"),"中等证据","保守不计")))</x:f>
      </x:c>
      <x:c r="O54" s="57" t="n">
        <x:f>IF(OR(N54="计1项",N54="中等证据"),1,0)</x:f>
        <x:v>0</x:v>
      </x:c>
      <x:c r="P54" s="50" t="str"/>
    </x:row>
    <x:row r="55">
      <x:c r="A55" s="49" t="str">
        <x:v>CT51</x:v>
      </x:c>
      <x:c r="B55" s="50"/>
      <x:c r="C55" s="50" t="str"/>
      <x:c r="D55" s="50" t="str"/>
      <x:c r="E55" s="50" t="str"/>
      <x:c r="F55" s="50" t="str"/>
      <x:c r="G55" s="50" t="str"/>
      <x:c r="H55" s="50" t="str"/>
      <x:c r="I55" s="50" t="str"/>
      <x:c r="J55" s="50" t="str"/>
      <x:c r="K55" s="61"/>
      <x:c r="L55" s="50" t="str">
        <x:v>待核</x:v>
      </x:c>
      <x:c r="M55" s="50" t="str">
        <x:v>待核</x:v>
      </x:c>
      <x:c r="N55" s="57" t="str">
        <x:f>IF(C55="","",IF(AND(F55&lt;&gt;"",G55&lt;&gt;"",H55&lt;&gt;"",I55&lt;&gt;"",L55="是",M55="否"),"计1项",IF(AND(H55&lt;&gt;"",I55&lt;&gt;"",L55="是",M55="否"),"中等证据","保守不计")))</x:f>
      </x:c>
      <x:c r="O55" s="57" t="n">
        <x:f>IF(OR(N55="计1项",N55="中等证据"),1,0)</x:f>
        <x:v>0</x:v>
      </x:c>
      <x:c r="P55" s="50" t="str"/>
    </x:row>
    <x:row r="56">
      <x:c r="A56" s="49" t="str">
        <x:v>CT52</x:v>
      </x:c>
      <x:c r="B56" s="50"/>
      <x:c r="C56" s="50" t="str"/>
      <x:c r="D56" s="50" t="str"/>
      <x:c r="E56" s="50" t="str"/>
      <x:c r="F56" s="50" t="str"/>
      <x:c r="G56" s="50" t="str"/>
      <x:c r="H56" s="50" t="str"/>
      <x:c r="I56" s="50" t="str"/>
      <x:c r="J56" s="50" t="str"/>
      <x:c r="K56" s="61"/>
      <x:c r="L56" s="50" t="str">
        <x:v>待核</x:v>
      </x:c>
      <x:c r="M56" s="50" t="str">
        <x:v>待核</x:v>
      </x:c>
      <x:c r="N56" s="57" t="str">
        <x:f>IF(C56="","",IF(AND(F56&lt;&gt;"",G56&lt;&gt;"",H56&lt;&gt;"",I56&lt;&gt;"",L56="是",M56="否"),"计1项",IF(AND(H56&lt;&gt;"",I56&lt;&gt;"",L56="是",M56="否"),"中等证据","保守不计")))</x:f>
      </x:c>
      <x:c r="O56" s="57" t="n">
        <x:f>IF(OR(N56="计1项",N56="中等证据"),1,0)</x:f>
        <x:v>0</x:v>
      </x:c>
      <x:c r="P56" s="50" t="str"/>
    </x:row>
    <x:row r="57">
      <x:c r="A57" s="49" t="str">
        <x:v>CT53</x:v>
      </x:c>
      <x:c r="B57" s="50"/>
      <x:c r="C57" s="50" t="str"/>
      <x:c r="D57" s="50" t="str"/>
      <x:c r="E57" s="50" t="str"/>
      <x:c r="F57" s="50" t="str"/>
      <x:c r="G57" s="50" t="str"/>
      <x:c r="H57" s="50" t="str"/>
      <x:c r="I57" s="50" t="str"/>
      <x:c r="J57" s="50" t="str"/>
      <x:c r="K57" s="61"/>
      <x:c r="L57" s="50" t="str">
        <x:v>待核</x:v>
      </x:c>
      <x:c r="M57" s="50" t="str">
        <x:v>待核</x:v>
      </x:c>
      <x:c r="N57" s="57" t="str">
        <x:f>IF(C57="","",IF(AND(F57&lt;&gt;"",G57&lt;&gt;"",H57&lt;&gt;"",I57&lt;&gt;"",L57="是",M57="否"),"计1项",IF(AND(H57&lt;&gt;"",I57&lt;&gt;"",L57="是",M57="否"),"中等证据","保守不计")))</x:f>
      </x:c>
      <x:c r="O57" s="57" t="n">
        <x:f>IF(OR(N57="计1项",N57="中等证据"),1,0)</x:f>
        <x:v>0</x:v>
      </x:c>
      <x:c r="P57" s="50" t="str"/>
    </x:row>
    <x:row r="58">
      <x:c r="A58" s="49" t="str">
        <x:v>CT54</x:v>
      </x:c>
      <x:c r="B58" s="50"/>
      <x:c r="C58" s="50" t="str"/>
      <x:c r="D58" s="50" t="str"/>
      <x:c r="E58" s="50" t="str"/>
      <x:c r="F58" s="50" t="str"/>
      <x:c r="G58" s="50" t="str"/>
      <x:c r="H58" s="50" t="str"/>
      <x:c r="I58" s="50" t="str"/>
      <x:c r="J58" s="50" t="str"/>
      <x:c r="K58" s="61"/>
      <x:c r="L58" s="50" t="str">
        <x:v>待核</x:v>
      </x:c>
      <x:c r="M58" s="50" t="str">
        <x:v>待核</x:v>
      </x:c>
      <x:c r="N58" s="57" t="str">
        <x:f>IF(C58="","",IF(AND(F58&lt;&gt;"",G58&lt;&gt;"",H58&lt;&gt;"",I58&lt;&gt;"",L58="是",M58="否"),"计1项",IF(AND(H58&lt;&gt;"",I58&lt;&gt;"",L58="是",M58="否"),"中等证据","保守不计")))</x:f>
      </x:c>
      <x:c r="O58" s="57" t="n">
        <x:f>IF(OR(N58="计1项",N58="中等证据"),1,0)</x:f>
        <x:v>0</x:v>
      </x:c>
      <x:c r="P58" s="50" t="str"/>
    </x:row>
    <x:row r="59">
      <x:c r="A59" s="49" t="str">
        <x:v>CT55</x:v>
      </x:c>
      <x:c r="B59" s="50"/>
      <x:c r="C59" s="50" t="str"/>
      <x:c r="D59" s="50" t="str"/>
      <x:c r="E59" s="50" t="str"/>
      <x:c r="F59" s="50" t="str"/>
      <x:c r="G59" s="50" t="str"/>
      <x:c r="H59" s="50" t="str"/>
      <x:c r="I59" s="50" t="str"/>
      <x:c r="J59" s="50" t="str"/>
      <x:c r="K59" s="61"/>
      <x:c r="L59" s="50" t="str">
        <x:v>待核</x:v>
      </x:c>
      <x:c r="M59" s="50" t="str">
        <x:v>待核</x:v>
      </x:c>
      <x:c r="N59" s="57" t="str">
        <x:f>IF(C59="","",IF(AND(F59&lt;&gt;"",G59&lt;&gt;"",H59&lt;&gt;"",I59&lt;&gt;"",L59="是",M59="否"),"计1项",IF(AND(H59&lt;&gt;"",I59&lt;&gt;"",L59="是",M59="否"),"中等证据","保守不计")))</x:f>
      </x:c>
      <x:c r="O59" s="57" t="n">
        <x:f>IF(OR(N59="计1项",N59="中等证据"),1,0)</x:f>
        <x:v>0</x:v>
      </x:c>
      <x:c r="P59" s="50" t="str"/>
    </x:row>
    <x:row r="60">
      <x:c r="A60" s="49" t="str">
        <x:v>CT56</x:v>
      </x:c>
      <x:c r="B60" s="50"/>
      <x:c r="C60" s="50" t="str"/>
      <x:c r="D60" s="50" t="str"/>
      <x:c r="E60" s="50" t="str"/>
      <x:c r="F60" s="50" t="str"/>
      <x:c r="G60" s="50" t="str"/>
      <x:c r="H60" s="50" t="str"/>
      <x:c r="I60" s="50" t="str"/>
      <x:c r="J60" s="50" t="str"/>
      <x:c r="K60" s="61"/>
      <x:c r="L60" s="50" t="str">
        <x:v>待核</x:v>
      </x:c>
      <x:c r="M60" s="50" t="str">
        <x:v>待核</x:v>
      </x:c>
      <x:c r="N60" s="57" t="str">
        <x:f>IF(C60="","",IF(AND(F60&lt;&gt;"",G60&lt;&gt;"",H60&lt;&gt;"",I60&lt;&gt;"",L60="是",M60="否"),"计1项",IF(AND(H60&lt;&gt;"",I60&lt;&gt;"",L60="是",M60="否"),"中等证据","保守不计")))</x:f>
      </x:c>
      <x:c r="O60" s="57" t="n">
        <x:f>IF(OR(N60="计1项",N60="中等证据"),1,0)</x:f>
        <x:v>0</x:v>
      </x:c>
      <x:c r="P60" s="50" t="str"/>
    </x:row>
    <x:row r="61">
      <x:c r="A61" s="49" t="str">
        <x:v>CT57</x:v>
      </x:c>
      <x:c r="B61" s="50"/>
      <x:c r="C61" s="50" t="str"/>
      <x:c r="D61" s="50" t="str"/>
      <x:c r="E61" s="50" t="str"/>
      <x:c r="F61" s="50" t="str"/>
      <x:c r="G61" s="50" t="str"/>
      <x:c r="H61" s="50" t="str"/>
      <x:c r="I61" s="50" t="str"/>
      <x:c r="J61" s="50" t="str"/>
      <x:c r="K61" s="61"/>
      <x:c r="L61" s="50" t="str">
        <x:v>待核</x:v>
      </x:c>
      <x:c r="M61" s="50" t="str">
        <x:v>待核</x:v>
      </x:c>
      <x:c r="N61" s="57" t="str">
        <x:f>IF(C61="","",IF(AND(F61&lt;&gt;"",G61&lt;&gt;"",H61&lt;&gt;"",I61&lt;&gt;"",L61="是",M61="否"),"计1项",IF(AND(H61&lt;&gt;"",I61&lt;&gt;"",L61="是",M61="否"),"中等证据","保守不计")))</x:f>
      </x:c>
      <x:c r="O61" s="57" t="n">
        <x:f>IF(OR(N61="计1项",N61="中等证据"),1,0)</x:f>
        <x:v>0</x:v>
      </x:c>
      <x:c r="P61" s="50" t="str"/>
    </x:row>
    <x:row r="62">
      <x:c r="A62" s="49" t="str">
        <x:v>CT58</x:v>
      </x:c>
      <x:c r="B62" s="50"/>
      <x:c r="C62" s="50" t="str"/>
      <x:c r="D62" s="50" t="str"/>
      <x:c r="E62" s="50" t="str"/>
      <x:c r="F62" s="50" t="str"/>
      <x:c r="G62" s="50" t="str"/>
      <x:c r="H62" s="50" t="str"/>
      <x:c r="I62" s="50" t="str"/>
      <x:c r="J62" s="50" t="str"/>
      <x:c r="K62" s="61"/>
      <x:c r="L62" s="50" t="str">
        <x:v>待核</x:v>
      </x:c>
      <x:c r="M62" s="50" t="str">
        <x:v>待核</x:v>
      </x:c>
      <x:c r="N62" s="57" t="str">
        <x:f>IF(C62="","",IF(AND(F62&lt;&gt;"",G62&lt;&gt;"",H62&lt;&gt;"",I62&lt;&gt;"",L62="是",M62="否"),"计1项",IF(AND(H62&lt;&gt;"",I62&lt;&gt;"",L62="是",M62="否"),"中等证据","保守不计")))</x:f>
      </x:c>
      <x:c r="O62" s="57" t="n">
        <x:f>IF(OR(N62="计1项",N62="中等证据"),1,0)</x:f>
        <x:v>0</x:v>
      </x:c>
      <x:c r="P62" s="50" t="str"/>
    </x:row>
    <x:row r="63">
      <x:c r="A63" s="49" t="str">
        <x:v>CT59</x:v>
      </x:c>
      <x:c r="B63" s="50"/>
      <x:c r="C63" s="50" t="str"/>
      <x:c r="D63" s="50" t="str"/>
      <x:c r="E63" s="50" t="str"/>
      <x:c r="F63" s="50" t="str"/>
      <x:c r="G63" s="50" t="str"/>
      <x:c r="H63" s="50" t="str"/>
      <x:c r="I63" s="50" t="str"/>
      <x:c r="J63" s="50" t="str"/>
      <x:c r="K63" s="61"/>
      <x:c r="L63" s="50" t="str">
        <x:v>待核</x:v>
      </x:c>
      <x:c r="M63" s="50" t="str">
        <x:v>待核</x:v>
      </x:c>
      <x:c r="N63" s="57" t="str">
        <x:f>IF(C63="","",IF(AND(F63&lt;&gt;"",G63&lt;&gt;"",H63&lt;&gt;"",I63&lt;&gt;"",L63="是",M63="否"),"计1项",IF(AND(H63&lt;&gt;"",I63&lt;&gt;"",L63="是",M63="否"),"中等证据","保守不计")))</x:f>
      </x:c>
      <x:c r="O63" s="57" t="n">
        <x:f>IF(OR(N63="计1项",N63="中等证据"),1,0)</x:f>
        <x:v>0</x:v>
      </x:c>
      <x:c r="P63" s="50" t="str"/>
    </x:row>
    <x:row r="64">
      <x:c r="A64" s="49" t="str">
        <x:v>CT60</x:v>
      </x:c>
      <x:c r="B64" s="50"/>
      <x:c r="C64" s="50" t="str"/>
      <x:c r="D64" s="50" t="str"/>
      <x:c r="E64" s="50" t="str"/>
      <x:c r="F64" s="50" t="str"/>
      <x:c r="G64" s="50" t="str"/>
      <x:c r="H64" s="50" t="str"/>
      <x:c r="I64" s="50" t="str"/>
      <x:c r="J64" s="50" t="str"/>
      <x:c r="K64" s="61"/>
      <x:c r="L64" s="50" t="str">
        <x:v>待核</x:v>
      </x:c>
      <x:c r="M64" s="50" t="str">
        <x:v>待核</x:v>
      </x:c>
      <x:c r="N64" s="57" t="str">
        <x:f>IF(C64="","",IF(AND(F64&lt;&gt;"",G64&lt;&gt;"",H64&lt;&gt;"",I64&lt;&gt;"",L64="是",M64="否"),"计1项",IF(AND(H64&lt;&gt;"",I64&lt;&gt;"",L64="是",M64="否"),"中等证据","保守不计")))</x:f>
      </x:c>
      <x:c r="O64" s="57" t="n">
        <x:f>IF(OR(N64="计1项",N64="中等证据"),1,0)</x:f>
        <x:v>0</x:v>
      </x:c>
      <x:c r="P64" s="50" t="str"/>
    </x:row>
    <x:row r="65">
      <x:c r="A65" s="49" t="str">
        <x:v>CT61</x:v>
      </x:c>
      <x:c r="B65" s="50"/>
      <x:c r="C65" s="50" t="str"/>
      <x:c r="D65" s="50" t="str"/>
      <x:c r="E65" s="50" t="str"/>
      <x:c r="F65" s="50" t="str"/>
      <x:c r="G65" s="50" t="str"/>
      <x:c r="H65" s="50" t="str"/>
      <x:c r="I65" s="50" t="str"/>
      <x:c r="J65" s="50" t="str"/>
      <x:c r="K65" s="61"/>
      <x:c r="L65" s="50" t="str">
        <x:v>待核</x:v>
      </x:c>
      <x:c r="M65" s="50" t="str">
        <x:v>待核</x:v>
      </x:c>
      <x:c r="N65" s="57" t="str">
        <x:f>IF(C65="","",IF(AND(F65&lt;&gt;"",G65&lt;&gt;"",H65&lt;&gt;"",I65&lt;&gt;"",L65="是",M65="否"),"计1项",IF(AND(H65&lt;&gt;"",I65&lt;&gt;"",L65="是",M65="否"),"中等证据","保守不计")))</x:f>
      </x:c>
      <x:c r="O65" s="57" t="n">
        <x:f>IF(OR(N65="计1项",N65="中等证据"),1,0)</x:f>
        <x:v>0</x:v>
      </x:c>
      <x:c r="P65" s="50" t="str"/>
    </x:row>
    <x:row r="66">
      <x:c r="A66" s="49" t="str">
        <x:v>CT62</x:v>
      </x:c>
      <x:c r="B66" s="50"/>
      <x:c r="C66" s="50" t="str"/>
      <x:c r="D66" s="50" t="str"/>
      <x:c r="E66" s="50" t="str"/>
      <x:c r="F66" s="50" t="str"/>
      <x:c r="G66" s="50" t="str"/>
      <x:c r="H66" s="50" t="str"/>
      <x:c r="I66" s="50" t="str"/>
      <x:c r="J66" s="50" t="str"/>
      <x:c r="K66" s="61"/>
      <x:c r="L66" s="50" t="str">
        <x:v>待核</x:v>
      </x:c>
      <x:c r="M66" s="50" t="str">
        <x:v>待核</x:v>
      </x:c>
      <x:c r="N66" s="57" t="str">
        <x:f>IF(C66="","",IF(AND(F66&lt;&gt;"",G66&lt;&gt;"",H66&lt;&gt;"",I66&lt;&gt;"",L66="是",M66="否"),"计1项",IF(AND(H66&lt;&gt;"",I66&lt;&gt;"",L66="是",M66="否"),"中等证据","保守不计")))</x:f>
      </x:c>
      <x:c r="O66" s="57" t="n">
        <x:f>IF(OR(N66="计1项",N66="中等证据"),1,0)</x:f>
        <x:v>0</x:v>
      </x:c>
      <x:c r="P66" s="50" t="str"/>
    </x:row>
    <x:row r="67">
      <x:c r="A67" s="49" t="str">
        <x:v>CT63</x:v>
      </x:c>
      <x:c r="B67" s="50"/>
      <x:c r="C67" s="50" t="str"/>
      <x:c r="D67" s="50" t="str"/>
      <x:c r="E67" s="50" t="str"/>
      <x:c r="F67" s="50" t="str"/>
      <x:c r="G67" s="50" t="str"/>
      <x:c r="H67" s="50" t="str"/>
      <x:c r="I67" s="50" t="str"/>
      <x:c r="J67" s="50" t="str"/>
      <x:c r="K67" s="61"/>
      <x:c r="L67" s="50" t="str">
        <x:v>待核</x:v>
      </x:c>
      <x:c r="M67" s="50" t="str">
        <x:v>待核</x:v>
      </x:c>
      <x:c r="N67" s="57" t="str">
        <x:f>IF(C67="","",IF(AND(F67&lt;&gt;"",G67&lt;&gt;"",H67&lt;&gt;"",I67&lt;&gt;"",L67="是",M67="否"),"计1项",IF(AND(H67&lt;&gt;"",I67&lt;&gt;"",L67="是",M67="否"),"中等证据","保守不计")))</x:f>
      </x:c>
      <x:c r="O67" s="57" t="n">
        <x:f>IF(OR(N67="计1项",N67="中等证据"),1,0)</x:f>
        <x:v>0</x:v>
      </x:c>
      <x:c r="P67" s="50" t="str"/>
    </x:row>
    <x:row r="68">
      <x:c r="A68" s="49" t="str">
        <x:v>CT64</x:v>
      </x:c>
      <x:c r="B68" s="50"/>
      <x:c r="C68" s="50" t="str"/>
      <x:c r="D68" s="50" t="str"/>
      <x:c r="E68" s="50" t="str"/>
      <x:c r="F68" s="50" t="str"/>
      <x:c r="G68" s="50" t="str"/>
      <x:c r="H68" s="50" t="str"/>
      <x:c r="I68" s="50" t="str"/>
      <x:c r="J68" s="50" t="str"/>
      <x:c r="K68" s="61"/>
      <x:c r="L68" s="50" t="str">
        <x:v>待核</x:v>
      </x:c>
      <x:c r="M68" s="50" t="str">
        <x:v>待核</x:v>
      </x:c>
      <x:c r="N68" s="57" t="str">
        <x:f>IF(C68="","",IF(AND(F68&lt;&gt;"",G68&lt;&gt;"",H68&lt;&gt;"",I68&lt;&gt;"",L68="是",M68="否"),"计1项",IF(AND(H68&lt;&gt;"",I68&lt;&gt;"",L68="是",M68="否"),"中等证据","保守不计")))</x:f>
      </x:c>
      <x:c r="O68" s="57" t="n">
        <x:f>IF(OR(N68="计1项",N68="中等证据"),1,0)</x:f>
        <x:v>0</x:v>
      </x:c>
      <x:c r="P68" s="50" t="str"/>
    </x:row>
    <x:row r="69">
      <x:c r="A69" s="49" t="str">
        <x:v>CT65</x:v>
      </x:c>
      <x:c r="B69" s="50"/>
      <x:c r="C69" s="50" t="str"/>
      <x:c r="D69" s="50" t="str"/>
      <x:c r="E69" s="50" t="str"/>
      <x:c r="F69" s="50" t="str"/>
      <x:c r="G69" s="50" t="str"/>
      <x:c r="H69" s="50" t="str"/>
      <x:c r="I69" s="50" t="str"/>
      <x:c r="J69" s="50" t="str"/>
      <x:c r="K69" s="61"/>
      <x:c r="L69" s="50" t="str">
        <x:v>待核</x:v>
      </x:c>
      <x:c r="M69" s="50" t="str">
        <x:v>待核</x:v>
      </x:c>
      <x:c r="N69" s="57" t="str">
        <x:f>IF(C69="","",IF(AND(F69&lt;&gt;"",G69&lt;&gt;"",H69&lt;&gt;"",I69&lt;&gt;"",L69="是",M69="否"),"计1项",IF(AND(H69&lt;&gt;"",I69&lt;&gt;"",L69="是",M69="否"),"中等证据","保守不计")))</x:f>
      </x:c>
      <x:c r="O69" s="57" t="n">
        <x:f>IF(OR(N69="计1项",N69="中等证据"),1,0)</x:f>
        <x:v>0</x:v>
      </x:c>
      <x:c r="P69" s="50" t="str"/>
    </x:row>
    <x:row r="70">
      <x:c r="A70" s="49" t="str">
        <x:v>CT66</x:v>
      </x:c>
      <x:c r="B70" s="50"/>
      <x:c r="C70" s="50" t="str"/>
      <x:c r="D70" s="50" t="str"/>
      <x:c r="E70" s="50" t="str"/>
      <x:c r="F70" s="50" t="str"/>
      <x:c r="G70" s="50" t="str"/>
      <x:c r="H70" s="50" t="str"/>
      <x:c r="I70" s="50" t="str"/>
      <x:c r="J70" s="50" t="str"/>
      <x:c r="K70" s="61"/>
      <x:c r="L70" s="50" t="str">
        <x:v>待核</x:v>
      </x:c>
      <x:c r="M70" s="50" t="str">
        <x:v>待核</x:v>
      </x:c>
      <x:c r="N70" s="57" t="str">
        <x:f>IF(C70="","",IF(AND(F70&lt;&gt;"",G70&lt;&gt;"",H70&lt;&gt;"",I70&lt;&gt;"",L70="是",M70="否"),"计1项",IF(AND(H70&lt;&gt;"",I70&lt;&gt;"",L70="是",M70="否"),"中等证据","保守不计")))</x:f>
      </x:c>
      <x:c r="O70" s="57" t="n">
        <x:f>IF(OR(N70="计1项",N70="中等证据"),1,0)</x:f>
        <x:v>0</x:v>
      </x:c>
      <x:c r="P70" s="50" t="str"/>
    </x:row>
    <x:row r="71">
      <x:c r="A71" s="49" t="str">
        <x:v>CT67</x:v>
      </x:c>
      <x:c r="B71" s="50"/>
      <x:c r="C71" s="50" t="str"/>
      <x:c r="D71" s="50" t="str"/>
      <x:c r="E71" s="50" t="str"/>
      <x:c r="F71" s="50" t="str"/>
      <x:c r="G71" s="50" t="str"/>
      <x:c r="H71" s="50" t="str"/>
      <x:c r="I71" s="50" t="str"/>
      <x:c r="J71" s="50" t="str"/>
      <x:c r="K71" s="61"/>
      <x:c r="L71" s="50" t="str">
        <x:v>待核</x:v>
      </x:c>
      <x:c r="M71" s="50" t="str">
        <x:v>待核</x:v>
      </x:c>
      <x:c r="N71" s="57" t="str">
        <x:f>IF(C71="","",IF(AND(F71&lt;&gt;"",G71&lt;&gt;"",H71&lt;&gt;"",I71&lt;&gt;"",L71="是",M71="否"),"计1项",IF(AND(H71&lt;&gt;"",I71&lt;&gt;"",L71="是",M71="否"),"中等证据","保守不计")))</x:f>
      </x:c>
      <x:c r="O71" s="57" t="n">
        <x:f>IF(OR(N71="计1项",N71="中等证据"),1,0)</x:f>
        <x:v>0</x:v>
      </x:c>
      <x:c r="P71" s="50" t="str"/>
    </x:row>
    <x:row r="72">
      <x:c r="A72" s="49" t="str">
        <x:v>CT68</x:v>
      </x:c>
      <x:c r="B72" s="50"/>
      <x:c r="C72" s="50" t="str"/>
      <x:c r="D72" s="50" t="str"/>
      <x:c r="E72" s="50" t="str"/>
      <x:c r="F72" s="50" t="str"/>
      <x:c r="G72" s="50" t="str"/>
      <x:c r="H72" s="50" t="str"/>
      <x:c r="I72" s="50" t="str"/>
      <x:c r="J72" s="50" t="str"/>
      <x:c r="K72" s="61"/>
      <x:c r="L72" s="50" t="str">
        <x:v>待核</x:v>
      </x:c>
      <x:c r="M72" s="50" t="str">
        <x:v>待核</x:v>
      </x:c>
      <x:c r="N72" s="57" t="str">
        <x:f>IF(C72="","",IF(AND(F72&lt;&gt;"",G72&lt;&gt;"",H72&lt;&gt;"",I72&lt;&gt;"",L72="是",M72="否"),"计1项",IF(AND(H72&lt;&gt;"",I72&lt;&gt;"",L72="是",M72="否"),"中等证据","保守不计")))</x:f>
      </x:c>
      <x:c r="O72" s="57" t="n">
        <x:f>IF(OR(N72="计1项",N72="中等证据"),1,0)</x:f>
        <x:v>0</x:v>
      </x:c>
      <x:c r="P72" s="50" t="str"/>
    </x:row>
    <x:row r="73">
      <x:c r="A73" s="49" t="str">
        <x:v>CT69</x:v>
      </x:c>
      <x:c r="B73" s="50"/>
      <x:c r="C73" s="50" t="str"/>
      <x:c r="D73" s="50" t="str"/>
      <x:c r="E73" s="50" t="str"/>
      <x:c r="F73" s="50" t="str"/>
      <x:c r="G73" s="50" t="str"/>
      <x:c r="H73" s="50" t="str"/>
      <x:c r="I73" s="50" t="str"/>
      <x:c r="J73" s="50" t="str"/>
      <x:c r="K73" s="61"/>
      <x:c r="L73" s="50" t="str">
        <x:v>待核</x:v>
      </x:c>
      <x:c r="M73" s="50" t="str">
        <x:v>待核</x:v>
      </x:c>
      <x:c r="N73" s="57" t="str">
        <x:f>IF(C73="","",IF(AND(F73&lt;&gt;"",G73&lt;&gt;"",H73&lt;&gt;"",I73&lt;&gt;"",L73="是",M73="否"),"计1项",IF(AND(H73&lt;&gt;"",I73&lt;&gt;"",L73="是",M73="否"),"中等证据","保守不计")))</x:f>
      </x:c>
      <x:c r="O73" s="57" t="n">
        <x:f>IF(OR(N73="计1项",N73="中等证据"),1,0)</x:f>
        <x:v>0</x:v>
      </x:c>
      <x:c r="P73" s="50" t="str"/>
    </x:row>
    <x:row r="74">
      <x:c r="A74" s="49" t="str">
        <x:v>CT70</x:v>
      </x:c>
      <x:c r="B74" s="50"/>
      <x:c r="C74" s="50" t="str"/>
      <x:c r="D74" s="50" t="str"/>
      <x:c r="E74" s="50" t="str"/>
      <x:c r="F74" s="50" t="str"/>
      <x:c r="G74" s="50" t="str"/>
      <x:c r="H74" s="50" t="str"/>
      <x:c r="I74" s="50" t="str"/>
      <x:c r="J74" s="50" t="str"/>
      <x:c r="K74" s="61"/>
      <x:c r="L74" s="50" t="str">
        <x:v>待核</x:v>
      </x:c>
      <x:c r="M74" s="50" t="str">
        <x:v>待核</x:v>
      </x:c>
      <x:c r="N74" s="57" t="str">
        <x:f>IF(C74="","",IF(AND(F74&lt;&gt;"",G74&lt;&gt;"",H74&lt;&gt;"",I74&lt;&gt;"",L74="是",M74="否"),"计1项",IF(AND(H74&lt;&gt;"",I74&lt;&gt;"",L74="是",M74="否"),"中等证据","保守不计")))</x:f>
      </x:c>
      <x:c r="O74" s="57" t="n">
        <x:f>IF(OR(N74="计1项",N74="中等证据"),1,0)</x:f>
        <x:v>0</x:v>
      </x:c>
      <x:c r="P74" s="50" t="str"/>
    </x:row>
    <x:row r="75">
      <x:c r="A75" s="49" t="str">
        <x:v>CT71</x:v>
      </x:c>
      <x:c r="B75" s="50"/>
      <x:c r="C75" s="50" t="str"/>
      <x:c r="D75" s="50" t="str"/>
      <x:c r="E75" s="50" t="str"/>
      <x:c r="F75" s="50" t="str"/>
      <x:c r="G75" s="50" t="str"/>
      <x:c r="H75" s="50" t="str"/>
      <x:c r="I75" s="50" t="str"/>
      <x:c r="J75" s="50" t="str"/>
      <x:c r="K75" s="61"/>
      <x:c r="L75" s="50" t="str">
        <x:v>待核</x:v>
      </x:c>
      <x:c r="M75" s="50" t="str">
        <x:v>待核</x:v>
      </x:c>
      <x:c r="N75" s="57" t="str">
        <x:f>IF(C75="","",IF(AND(F75&lt;&gt;"",G75&lt;&gt;"",H75&lt;&gt;"",I75&lt;&gt;"",L75="是",M75="否"),"计1项",IF(AND(H75&lt;&gt;"",I75&lt;&gt;"",L75="是",M75="否"),"中等证据","保守不计")))</x:f>
      </x:c>
      <x:c r="O75" s="57" t="n">
        <x:f>IF(OR(N75="计1项",N75="中等证据"),1,0)</x:f>
        <x:v>0</x:v>
      </x:c>
      <x:c r="P75" s="50" t="str"/>
    </x:row>
    <x:row r="76">
      <x:c r="A76" s="49" t="str">
        <x:v>CT72</x:v>
      </x:c>
      <x:c r="B76" s="50"/>
      <x:c r="C76" s="50" t="str"/>
      <x:c r="D76" s="50" t="str"/>
      <x:c r="E76" s="50" t="str"/>
      <x:c r="F76" s="50" t="str"/>
      <x:c r="G76" s="50" t="str"/>
      <x:c r="H76" s="50" t="str"/>
      <x:c r="I76" s="50" t="str"/>
      <x:c r="J76" s="50" t="str"/>
      <x:c r="K76" s="61"/>
      <x:c r="L76" s="50" t="str">
        <x:v>待核</x:v>
      </x:c>
      <x:c r="M76" s="50" t="str">
        <x:v>待核</x:v>
      </x:c>
      <x:c r="N76" s="57" t="str">
        <x:f>IF(C76="","",IF(AND(F76&lt;&gt;"",G76&lt;&gt;"",H76&lt;&gt;"",I76&lt;&gt;"",L76="是",M76="否"),"计1项",IF(AND(H76&lt;&gt;"",I76&lt;&gt;"",L76="是",M76="否"),"中等证据","保守不计")))</x:f>
      </x:c>
      <x:c r="O76" s="57" t="n">
        <x:f>IF(OR(N76="计1项",N76="中等证据"),1,0)</x:f>
        <x:v>0</x:v>
      </x:c>
      <x:c r="P76" s="50" t="str"/>
    </x:row>
    <x:row r="77">
      <x:c r="A77" s="49" t="str">
        <x:v>CT73</x:v>
      </x:c>
      <x:c r="B77" s="50"/>
      <x:c r="C77" s="50" t="str"/>
      <x:c r="D77" s="50" t="str"/>
      <x:c r="E77" s="50" t="str"/>
      <x:c r="F77" s="50" t="str"/>
      <x:c r="G77" s="50" t="str"/>
      <x:c r="H77" s="50" t="str"/>
      <x:c r="I77" s="50" t="str"/>
      <x:c r="J77" s="50" t="str"/>
      <x:c r="K77" s="61"/>
      <x:c r="L77" s="50" t="str">
        <x:v>待核</x:v>
      </x:c>
      <x:c r="M77" s="50" t="str">
        <x:v>待核</x:v>
      </x:c>
      <x:c r="N77" s="57" t="str">
        <x:f>IF(C77="","",IF(AND(F77&lt;&gt;"",G77&lt;&gt;"",H77&lt;&gt;"",I77&lt;&gt;"",L77="是",M77="否"),"计1项",IF(AND(H77&lt;&gt;"",I77&lt;&gt;"",L77="是",M77="否"),"中等证据","保守不计")))</x:f>
      </x:c>
      <x:c r="O77" s="57" t="n">
        <x:f>IF(OR(N77="计1项",N77="中等证据"),1,0)</x:f>
        <x:v>0</x:v>
      </x:c>
      <x:c r="P77" s="50" t="str"/>
    </x:row>
    <x:row r="78">
      <x:c r="A78" s="49" t="str">
        <x:v>CT74</x:v>
      </x:c>
      <x:c r="B78" s="50"/>
      <x:c r="C78" s="50" t="str"/>
      <x:c r="D78" s="50" t="str"/>
      <x:c r="E78" s="50" t="str"/>
      <x:c r="F78" s="50" t="str"/>
      <x:c r="G78" s="50" t="str"/>
      <x:c r="H78" s="50" t="str"/>
      <x:c r="I78" s="50" t="str"/>
      <x:c r="J78" s="50" t="str"/>
      <x:c r="K78" s="61"/>
      <x:c r="L78" s="50" t="str">
        <x:v>待核</x:v>
      </x:c>
      <x:c r="M78" s="50" t="str">
        <x:v>待核</x:v>
      </x:c>
      <x:c r="N78" s="57" t="str">
        <x:f>IF(C78="","",IF(AND(F78&lt;&gt;"",G78&lt;&gt;"",H78&lt;&gt;"",I78&lt;&gt;"",L78="是",M78="否"),"计1项",IF(AND(H78&lt;&gt;"",I78&lt;&gt;"",L78="是",M78="否"),"中等证据","保守不计")))</x:f>
      </x:c>
      <x:c r="O78" s="57" t="n">
        <x:f>IF(OR(N78="计1项",N78="中等证据"),1,0)</x:f>
        <x:v>0</x:v>
      </x:c>
      <x:c r="P78" s="50" t="str"/>
    </x:row>
    <x:row r="79">
      <x:c r="A79" s="49" t="str">
        <x:v>CT75</x:v>
      </x:c>
      <x:c r="B79" s="50"/>
      <x:c r="C79" s="50" t="str"/>
      <x:c r="D79" s="50" t="str"/>
      <x:c r="E79" s="50" t="str"/>
      <x:c r="F79" s="50" t="str"/>
      <x:c r="G79" s="50" t="str"/>
      <x:c r="H79" s="50" t="str"/>
      <x:c r="I79" s="50" t="str"/>
      <x:c r="J79" s="50" t="str"/>
      <x:c r="K79" s="61"/>
      <x:c r="L79" s="50" t="str">
        <x:v>待核</x:v>
      </x:c>
      <x:c r="M79" s="50" t="str">
        <x:v>待核</x:v>
      </x:c>
      <x:c r="N79" s="57" t="str">
        <x:f>IF(C79="","",IF(AND(F79&lt;&gt;"",G79&lt;&gt;"",H79&lt;&gt;"",I79&lt;&gt;"",L79="是",M79="否"),"计1项",IF(AND(H79&lt;&gt;"",I79&lt;&gt;"",L79="是",M79="否"),"中等证据","保守不计")))</x:f>
      </x:c>
      <x:c r="O79" s="57" t="n">
        <x:f>IF(OR(N79="计1项",N79="中等证据"),1,0)</x:f>
        <x:v>0</x:v>
      </x:c>
      <x:c r="P79" s="50" t="str"/>
    </x:row>
    <x:row r="80">
      <x:c r="A80" s="49" t="str">
        <x:v>CT76</x:v>
      </x:c>
      <x:c r="B80" s="50"/>
      <x:c r="C80" s="50" t="str"/>
      <x:c r="D80" s="50" t="str"/>
      <x:c r="E80" s="50" t="str"/>
      <x:c r="F80" s="50" t="str"/>
      <x:c r="G80" s="50" t="str"/>
      <x:c r="H80" s="50" t="str"/>
      <x:c r="I80" s="50" t="str"/>
      <x:c r="J80" s="50" t="str"/>
      <x:c r="K80" s="61"/>
      <x:c r="L80" s="50" t="str">
        <x:v>待核</x:v>
      </x:c>
      <x:c r="M80" s="50" t="str">
        <x:v>待核</x:v>
      </x:c>
      <x:c r="N80" s="57" t="str">
        <x:f>IF(C80="","",IF(AND(F80&lt;&gt;"",G80&lt;&gt;"",H80&lt;&gt;"",I80&lt;&gt;"",L80="是",M80="否"),"计1项",IF(AND(H80&lt;&gt;"",I80&lt;&gt;"",L80="是",M80="否"),"中等证据","保守不计")))</x:f>
      </x:c>
      <x:c r="O80" s="57" t="n">
        <x:f>IF(OR(N80="计1项",N80="中等证据"),1,0)</x:f>
        <x:v>0</x:v>
      </x:c>
      <x:c r="P80" s="50" t="str"/>
    </x:row>
    <x:row r="81">
      <x:c r="A81" s="49" t="str">
        <x:v>CT77</x:v>
      </x:c>
      <x:c r="B81" s="50"/>
      <x:c r="C81" s="50" t="str"/>
      <x:c r="D81" s="50" t="str"/>
      <x:c r="E81" s="50" t="str"/>
      <x:c r="F81" s="50" t="str"/>
      <x:c r="G81" s="50" t="str"/>
      <x:c r="H81" s="50" t="str"/>
      <x:c r="I81" s="50" t="str"/>
      <x:c r="J81" s="50" t="str"/>
      <x:c r="K81" s="61"/>
      <x:c r="L81" s="50" t="str">
        <x:v>待核</x:v>
      </x:c>
      <x:c r="M81" s="50" t="str">
        <x:v>待核</x:v>
      </x:c>
      <x:c r="N81" s="57" t="str">
        <x:f>IF(C81="","",IF(AND(F81&lt;&gt;"",G81&lt;&gt;"",H81&lt;&gt;"",I81&lt;&gt;"",L81="是",M81="否"),"计1项",IF(AND(H81&lt;&gt;"",I81&lt;&gt;"",L81="是",M81="否"),"中等证据","保守不计")))</x:f>
      </x:c>
      <x:c r="O81" s="57" t="n">
        <x:f>IF(OR(N81="计1项",N81="中等证据"),1,0)</x:f>
        <x:v>0</x:v>
      </x:c>
      <x:c r="P81" s="50" t="str"/>
    </x:row>
    <x:row r="82">
      <x:c r="A82" s="49" t="str">
        <x:v>CT78</x:v>
      </x:c>
      <x:c r="B82" s="50"/>
      <x:c r="C82" s="50" t="str"/>
      <x:c r="D82" s="50" t="str"/>
      <x:c r="E82" s="50" t="str"/>
      <x:c r="F82" s="50" t="str"/>
      <x:c r="G82" s="50" t="str"/>
      <x:c r="H82" s="50" t="str"/>
      <x:c r="I82" s="50" t="str"/>
      <x:c r="J82" s="50" t="str"/>
      <x:c r="K82" s="61"/>
      <x:c r="L82" s="50" t="str">
        <x:v>待核</x:v>
      </x:c>
      <x:c r="M82" s="50" t="str">
        <x:v>待核</x:v>
      </x:c>
      <x:c r="N82" s="57" t="str">
        <x:f>IF(C82="","",IF(AND(F82&lt;&gt;"",G82&lt;&gt;"",H82&lt;&gt;"",I82&lt;&gt;"",L82="是",M82="否"),"计1项",IF(AND(H82&lt;&gt;"",I82&lt;&gt;"",L82="是",M82="否"),"中等证据","保守不计")))</x:f>
      </x:c>
      <x:c r="O82" s="57" t="n">
        <x:f>IF(OR(N82="计1项",N82="中等证据"),1,0)</x:f>
        <x:v>0</x:v>
      </x:c>
      <x:c r="P82" s="50" t="str"/>
    </x:row>
    <x:row r="83">
      <x:c r="A83" s="49" t="str">
        <x:v>CT79</x:v>
      </x:c>
      <x:c r="B83" s="50"/>
      <x:c r="C83" s="50" t="str"/>
      <x:c r="D83" s="50" t="str"/>
      <x:c r="E83" s="50" t="str"/>
      <x:c r="F83" s="50" t="str"/>
      <x:c r="G83" s="50" t="str"/>
      <x:c r="H83" s="50" t="str"/>
      <x:c r="I83" s="50" t="str"/>
      <x:c r="J83" s="50" t="str"/>
      <x:c r="K83" s="61"/>
      <x:c r="L83" s="50" t="str">
        <x:v>待核</x:v>
      </x:c>
      <x:c r="M83" s="50" t="str">
        <x:v>待核</x:v>
      </x:c>
      <x:c r="N83" s="57" t="str">
        <x:f>IF(C83="","",IF(AND(F83&lt;&gt;"",G83&lt;&gt;"",H83&lt;&gt;"",I83&lt;&gt;"",L83="是",M83="否"),"计1项",IF(AND(H83&lt;&gt;"",I83&lt;&gt;"",L83="是",M83="否"),"中等证据","保守不计")))</x:f>
      </x:c>
      <x:c r="O83" s="57" t="n">
        <x:f>IF(OR(N83="计1项",N83="中等证据"),1,0)</x:f>
        <x:v>0</x:v>
      </x:c>
      <x:c r="P83" s="50" t="str"/>
    </x:row>
    <x:row r="84">
      <x:c r="A84" s="49" t="str">
        <x:v>CT80</x:v>
      </x:c>
      <x:c r="B84" s="50"/>
      <x:c r="C84" s="50" t="str"/>
      <x:c r="D84" s="50" t="str"/>
      <x:c r="E84" s="50" t="str"/>
      <x:c r="F84" s="50" t="str"/>
      <x:c r="G84" s="50" t="str"/>
      <x:c r="H84" s="50" t="str"/>
      <x:c r="I84" s="50" t="str"/>
      <x:c r="J84" s="50" t="str"/>
      <x:c r="K84" s="61"/>
      <x:c r="L84" s="50" t="str">
        <x:v>待核</x:v>
      </x:c>
      <x:c r="M84" s="50" t="str">
        <x:v>待核</x:v>
      </x:c>
      <x:c r="N84" s="57" t="str">
        <x:f>IF(C84="","",IF(AND(F84&lt;&gt;"",G84&lt;&gt;"",H84&lt;&gt;"",I84&lt;&gt;"",L84="是",M84="否"),"计1项",IF(AND(H84&lt;&gt;"",I84&lt;&gt;"",L84="是",M84="否"),"中等证据","保守不计")))</x:f>
      </x:c>
      <x:c r="O84" s="57" t="n">
        <x:f>IF(OR(N84="计1项",N84="中等证据"),1,0)</x:f>
        <x:v>0</x:v>
      </x:c>
      <x:c r="P84" s="50" t="str"/>
    </x:row>
    <x:row r="85">
      <x:c r="A85" s="49" t="str">
        <x:v>CT81</x:v>
      </x:c>
      <x:c r="B85" s="50"/>
      <x:c r="C85" s="50" t="str"/>
      <x:c r="D85" s="50" t="str"/>
      <x:c r="E85" s="50" t="str"/>
      <x:c r="F85" s="50" t="str"/>
      <x:c r="G85" s="50" t="str"/>
      <x:c r="H85" s="50" t="str"/>
      <x:c r="I85" s="50" t="str"/>
      <x:c r="J85" s="50" t="str"/>
      <x:c r="K85" s="61"/>
      <x:c r="L85" s="50" t="str">
        <x:v>待核</x:v>
      </x:c>
      <x:c r="M85" s="50" t="str">
        <x:v>待核</x:v>
      </x:c>
      <x:c r="N85" s="57" t="str">
        <x:f>IF(C85="","",IF(AND(F85&lt;&gt;"",G85&lt;&gt;"",H85&lt;&gt;"",I85&lt;&gt;"",L85="是",M85="否"),"计1项",IF(AND(H85&lt;&gt;"",I85&lt;&gt;"",L85="是",M85="否"),"中等证据","保守不计")))</x:f>
      </x:c>
      <x:c r="O85" s="57" t="n">
        <x:f>IF(OR(N85="计1项",N85="中等证据"),1,0)</x:f>
        <x:v>0</x:v>
      </x:c>
      <x:c r="P85" s="50" t="str"/>
    </x:row>
    <x:row r="86">
      <x:c r="A86" s="49" t="str">
        <x:v>CT82</x:v>
      </x:c>
      <x:c r="B86" s="50"/>
      <x:c r="C86" s="50" t="str"/>
      <x:c r="D86" s="50" t="str"/>
      <x:c r="E86" s="50" t="str"/>
      <x:c r="F86" s="50" t="str"/>
      <x:c r="G86" s="50" t="str"/>
      <x:c r="H86" s="50" t="str"/>
      <x:c r="I86" s="50" t="str"/>
      <x:c r="J86" s="50" t="str"/>
      <x:c r="K86" s="61"/>
      <x:c r="L86" s="50" t="str">
        <x:v>待核</x:v>
      </x:c>
      <x:c r="M86" s="50" t="str">
        <x:v>待核</x:v>
      </x:c>
      <x:c r="N86" s="57" t="str">
        <x:f>IF(C86="","",IF(AND(F86&lt;&gt;"",G86&lt;&gt;"",H86&lt;&gt;"",I86&lt;&gt;"",L86="是",M86="否"),"计1项",IF(AND(H86&lt;&gt;"",I86&lt;&gt;"",L86="是",M86="否"),"中等证据","保守不计")))</x:f>
      </x:c>
      <x:c r="O86" s="57" t="n">
        <x:f>IF(OR(N86="计1项",N86="中等证据"),1,0)</x:f>
        <x:v>0</x:v>
      </x:c>
      <x:c r="P86" s="50" t="str"/>
    </x:row>
    <x:row r="87">
      <x:c r="A87" s="49" t="str">
        <x:v>CT83</x:v>
      </x:c>
      <x:c r="B87" s="50"/>
      <x:c r="C87" s="50" t="str"/>
      <x:c r="D87" s="50" t="str"/>
      <x:c r="E87" s="50" t="str"/>
      <x:c r="F87" s="50" t="str"/>
      <x:c r="G87" s="50" t="str"/>
      <x:c r="H87" s="50" t="str"/>
      <x:c r="I87" s="50" t="str"/>
      <x:c r="J87" s="50" t="str"/>
      <x:c r="K87" s="61"/>
      <x:c r="L87" s="50" t="str">
        <x:v>待核</x:v>
      </x:c>
      <x:c r="M87" s="50" t="str">
        <x:v>待核</x:v>
      </x:c>
      <x:c r="N87" s="57" t="str">
        <x:f>IF(C87="","",IF(AND(F87&lt;&gt;"",G87&lt;&gt;"",H87&lt;&gt;"",I87&lt;&gt;"",L87="是",M87="否"),"计1项",IF(AND(H87&lt;&gt;"",I87&lt;&gt;"",L87="是",M87="否"),"中等证据","保守不计")))</x:f>
      </x:c>
      <x:c r="O87" s="57" t="n">
        <x:f>IF(OR(N87="计1项",N87="中等证据"),1,0)</x:f>
        <x:v>0</x:v>
      </x:c>
      <x:c r="P87" s="50" t="str"/>
    </x:row>
    <x:row r="88">
      <x:c r="A88" s="49" t="str">
        <x:v>CT84</x:v>
      </x:c>
      <x:c r="B88" s="50"/>
      <x:c r="C88" s="50" t="str"/>
      <x:c r="D88" s="50" t="str"/>
      <x:c r="E88" s="50" t="str"/>
      <x:c r="F88" s="50" t="str"/>
      <x:c r="G88" s="50" t="str"/>
      <x:c r="H88" s="50" t="str"/>
      <x:c r="I88" s="50" t="str"/>
      <x:c r="J88" s="50" t="str"/>
      <x:c r="K88" s="61"/>
      <x:c r="L88" s="50" t="str">
        <x:v>待核</x:v>
      </x:c>
      <x:c r="M88" s="50" t="str">
        <x:v>待核</x:v>
      </x:c>
      <x:c r="N88" s="57" t="str">
        <x:f>IF(C88="","",IF(AND(F88&lt;&gt;"",G88&lt;&gt;"",H88&lt;&gt;"",I88&lt;&gt;"",L88="是",M88="否"),"计1项",IF(AND(H88&lt;&gt;"",I88&lt;&gt;"",L88="是",M88="否"),"中等证据","保守不计")))</x:f>
      </x:c>
      <x:c r="O88" s="57" t="n">
        <x:f>IF(OR(N88="计1项",N88="中等证据"),1,0)</x:f>
        <x:v>0</x:v>
      </x:c>
      <x:c r="P88" s="50" t="str"/>
    </x:row>
    <x:row r="89">
      <x:c r="A89" s="49" t="str">
        <x:v>CT85</x:v>
      </x:c>
      <x:c r="B89" s="50"/>
      <x:c r="C89" s="50" t="str"/>
      <x:c r="D89" s="50" t="str"/>
      <x:c r="E89" s="50" t="str"/>
      <x:c r="F89" s="50" t="str"/>
      <x:c r="G89" s="50" t="str"/>
      <x:c r="H89" s="50" t="str"/>
      <x:c r="I89" s="50" t="str"/>
      <x:c r="J89" s="50" t="str"/>
      <x:c r="K89" s="61"/>
      <x:c r="L89" s="50" t="str">
        <x:v>待核</x:v>
      </x:c>
      <x:c r="M89" s="50" t="str">
        <x:v>待核</x:v>
      </x:c>
      <x:c r="N89" s="57" t="str">
        <x:f>IF(C89="","",IF(AND(F89&lt;&gt;"",G89&lt;&gt;"",H89&lt;&gt;"",I89&lt;&gt;"",L89="是",M89="否"),"计1项",IF(AND(H89&lt;&gt;"",I89&lt;&gt;"",L89="是",M89="否"),"中等证据","保守不计")))</x:f>
      </x:c>
      <x:c r="O89" s="57" t="n">
        <x:f>IF(OR(N89="计1项",N89="中等证据"),1,0)</x:f>
        <x:v>0</x:v>
      </x:c>
      <x:c r="P89" s="50" t="str"/>
    </x:row>
    <x:row r="90">
      <x:c r="A90" s="49" t="str">
        <x:v>CT86</x:v>
      </x:c>
      <x:c r="B90" s="50"/>
      <x:c r="C90" s="50" t="str"/>
      <x:c r="D90" s="50" t="str"/>
      <x:c r="E90" s="50" t="str"/>
      <x:c r="F90" s="50" t="str"/>
      <x:c r="G90" s="50" t="str"/>
      <x:c r="H90" s="50" t="str"/>
      <x:c r="I90" s="50" t="str"/>
      <x:c r="J90" s="50" t="str"/>
      <x:c r="K90" s="61"/>
      <x:c r="L90" s="50" t="str">
        <x:v>待核</x:v>
      </x:c>
      <x:c r="M90" s="50" t="str">
        <x:v>待核</x:v>
      </x:c>
      <x:c r="N90" s="57" t="str">
        <x:f>IF(C90="","",IF(AND(F90&lt;&gt;"",G90&lt;&gt;"",H90&lt;&gt;"",I90&lt;&gt;"",L90="是",M90="否"),"计1项",IF(AND(H90&lt;&gt;"",I90&lt;&gt;"",L90="是",M90="否"),"中等证据","保守不计")))</x:f>
      </x:c>
      <x:c r="O90" s="57" t="n">
        <x:f>IF(OR(N90="计1项",N90="中等证据"),1,0)</x:f>
        <x:v>0</x:v>
      </x:c>
      <x:c r="P90" s="50" t="str"/>
    </x:row>
    <x:row r="91">
      <x:c r="A91" s="49" t="str">
        <x:v>CT87</x:v>
      </x:c>
      <x:c r="B91" s="50"/>
      <x:c r="C91" s="50" t="str"/>
      <x:c r="D91" s="50" t="str"/>
      <x:c r="E91" s="50" t="str"/>
      <x:c r="F91" s="50" t="str"/>
      <x:c r="G91" s="50" t="str"/>
      <x:c r="H91" s="50" t="str"/>
      <x:c r="I91" s="50" t="str"/>
      <x:c r="J91" s="50" t="str"/>
      <x:c r="K91" s="61"/>
      <x:c r="L91" s="50" t="str">
        <x:v>待核</x:v>
      </x:c>
      <x:c r="M91" s="50" t="str">
        <x:v>待核</x:v>
      </x:c>
      <x:c r="N91" s="57" t="str">
        <x:f>IF(C91="","",IF(AND(F91&lt;&gt;"",G91&lt;&gt;"",H91&lt;&gt;"",I91&lt;&gt;"",L91="是",M91="否"),"计1项",IF(AND(H91&lt;&gt;"",I91&lt;&gt;"",L91="是",M91="否"),"中等证据","保守不计")))</x:f>
      </x:c>
      <x:c r="O91" s="57" t="n">
        <x:f>IF(OR(N91="计1项",N91="中等证据"),1,0)</x:f>
        <x:v>0</x:v>
      </x:c>
      <x:c r="P91" s="50" t="str"/>
    </x:row>
    <x:row r="92">
      <x:c r="A92" s="49" t="str">
        <x:v>CT88</x:v>
      </x:c>
      <x:c r="B92" s="50"/>
      <x:c r="C92" s="50" t="str"/>
      <x:c r="D92" s="50" t="str"/>
      <x:c r="E92" s="50" t="str"/>
      <x:c r="F92" s="50" t="str"/>
      <x:c r="G92" s="50" t="str"/>
      <x:c r="H92" s="50" t="str"/>
      <x:c r="I92" s="50" t="str"/>
      <x:c r="J92" s="50" t="str"/>
      <x:c r="K92" s="61"/>
      <x:c r="L92" s="50" t="str">
        <x:v>待核</x:v>
      </x:c>
      <x:c r="M92" s="50" t="str">
        <x:v>待核</x:v>
      </x:c>
      <x:c r="N92" s="57" t="str">
        <x:f>IF(C92="","",IF(AND(F92&lt;&gt;"",G92&lt;&gt;"",H92&lt;&gt;"",I92&lt;&gt;"",L92="是",M92="否"),"计1项",IF(AND(H92&lt;&gt;"",I92&lt;&gt;"",L92="是",M92="否"),"中等证据","保守不计")))</x:f>
      </x:c>
      <x:c r="O92" s="57" t="n">
        <x:f>IF(OR(N92="计1项",N92="中等证据"),1,0)</x:f>
        <x:v>0</x:v>
      </x:c>
      <x:c r="P92" s="50" t="str"/>
    </x:row>
    <x:row r="93">
      <x:c r="A93" s="49" t="str">
        <x:v>CT89</x:v>
      </x:c>
      <x:c r="B93" s="50"/>
      <x:c r="C93" s="50" t="str"/>
      <x:c r="D93" s="50" t="str"/>
      <x:c r="E93" s="50" t="str"/>
      <x:c r="F93" s="50" t="str"/>
      <x:c r="G93" s="50" t="str"/>
      <x:c r="H93" s="50" t="str"/>
      <x:c r="I93" s="50" t="str"/>
      <x:c r="J93" s="50" t="str"/>
      <x:c r="K93" s="61"/>
      <x:c r="L93" s="50" t="str">
        <x:v>待核</x:v>
      </x:c>
      <x:c r="M93" s="50" t="str">
        <x:v>待核</x:v>
      </x:c>
      <x:c r="N93" s="57" t="str">
        <x:f>IF(C93="","",IF(AND(F93&lt;&gt;"",G93&lt;&gt;"",H93&lt;&gt;"",I93&lt;&gt;"",L93="是",M93="否"),"计1项",IF(AND(H93&lt;&gt;"",I93&lt;&gt;"",L93="是",M93="否"),"中等证据","保守不计")))</x:f>
      </x:c>
      <x:c r="O93" s="57" t="n">
        <x:f>IF(OR(N93="计1项",N93="中等证据"),1,0)</x:f>
        <x:v>0</x:v>
      </x:c>
      <x:c r="P93" s="50" t="str"/>
    </x:row>
    <x:row r="94">
      <x:c r="A94" s="49" t="str">
        <x:v>CT90</x:v>
      </x:c>
      <x:c r="B94" s="50"/>
      <x:c r="C94" s="50" t="str"/>
      <x:c r="D94" s="50" t="str"/>
      <x:c r="E94" s="50" t="str"/>
      <x:c r="F94" s="50" t="str"/>
      <x:c r="G94" s="50" t="str"/>
      <x:c r="H94" s="50" t="str"/>
      <x:c r="I94" s="50" t="str"/>
      <x:c r="J94" s="50" t="str"/>
      <x:c r="K94" s="61"/>
      <x:c r="L94" s="50" t="str">
        <x:v>待核</x:v>
      </x:c>
      <x:c r="M94" s="50" t="str">
        <x:v>待核</x:v>
      </x:c>
      <x:c r="N94" s="57" t="str">
        <x:f>IF(C94="","",IF(AND(F94&lt;&gt;"",G94&lt;&gt;"",H94&lt;&gt;"",I94&lt;&gt;"",L94="是",M94="否"),"计1项",IF(AND(H94&lt;&gt;"",I94&lt;&gt;"",L94="是",M94="否"),"中等证据","保守不计")))</x:f>
      </x:c>
      <x:c r="O94" s="57" t="n">
        <x:f>IF(OR(N94="计1项",N94="中等证据"),1,0)</x:f>
        <x:v>0</x:v>
      </x:c>
      <x:c r="P94" s="50" t="str"/>
    </x:row>
    <x:row r="95">
      <x:c r="A95" s="49" t="str">
        <x:v>CT91</x:v>
      </x:c>
      <x:c r="B95" s="50"/>
      <x:c r="C95" s="50" t="str"/>
      <x:c r="D95" s="50" t="str"/>
      <x:c r="E95" s="50" t="str"/>
      <x:c r="F95" s="50" t="str"/>
      <x:c r="G95" s="50" t="str"/>
      <x:c r="H95" s="50" t="str"/>
      <x:c r="I95" s="50" t="str"/>
      <x:c r="J95" s="50" t="str"/>
      <x:c r="K95" s="61"/>
      <x:c r="L95" s="50" t="str">
        <x:v>待核</x:v>
      </x:c>
      <x:c r="M95" s="50" t="str">
        <x:v>待核</x:v>
      </x:c>
      <x:c r="N95" s="57" t="str">
        <x:f>IF(C95="","",IF(AND(F95&lt;&gt;"",G95&lt;&gt;"",H95&lt;&gt;"",I95&lt;&gt;"",L95="是",M95="否"),"计1项",IF(AND(H95&lt;&gt;"",I95&lt;&gt;"",L95="是",M95="否"),"中等证据","保守不计")))</x:f>
      </x:c>
      <x:c r="O95" s="57" t="n">
        <x:f>IF(OR(N95="计1项",N95="中等证据"),1,0)</x:f>
        <x:v>0</x:v>
      </x:c>
      <x:c r="P95" s="50" t="str"/>
    </x:row>
    <x:row r="96">
      <x:c r="A96" s="49" t="str">
        <x:v>CT92</x:v>
      </x:c>
      <x:c r="B96" s="50"/>
      <x:c r="C96" s="50" t="str"/>
      <x:c r="D96" s="50" t="str"/>
      <x:c r="E96" s="50" t="str"/>
      <x:c r="F96" s="50" t="str"/>
      <x:c r="G96" s="50" t="str"/>
      <x:c r="H96" s="50" t="str"/>
      <x:c r="I96" s="50" t="str"/>
      <x:c r="J96" s="50" t="str"/>
      <x:c r="K96" s="61"/>
      <x:c r="L96" s="50" t="str">
        <x:v>待核</x:v>
      </x:c>
      <x:c r="M96" s="50" t="str">
        <x:v>待核</x:v>
      </x:c>
      <x:c r="N96" s="57" t="str">
        <x:f>IF(C96="","",IF(AND(F96&lt;&gt;"",G96&lt;&gt;"",H96&lt;&gt;"",I96&lt;&gt;"",L96="是",M96="否"),"计1项",IF(AND(H96&lt;&gt;"",I96&lt;&gt;"",L96="是",M96="否"),"中等证据","保守不计")))</x:f>
      </x:c>
      <x:c r="O96" s="57" t="n">
        <x:f>IF(OR(N96="计1项",N96="中等证据"),1,0)</x:f>
        <x:v>0</x:v>
      </x:c>
      <x:c r="P96" s="50" t="str"/>
    </x:row>
    <x:row r="97">
      <x:c r="A97" s="49" t="str">
        <x:v>CT93</x:v>
      </x:c>
      <x:c r="B97" s="50"/>
      <x:c r="C97" s="50" t="str"/>
      <x:c r="D97" s="50" t="str"/>
      <x:c r="E97" s="50" t="str"/>
      <x:c r="F97" s="50" t="str"/>
      <x:c r="G97" s="50" t="str"/>
      <x:c r="H97" s="50" t="str"/>
      <x:c r="I97" s="50" t="str"/>
      <x:c r="J97" s="50" t="str"/>
      <x:c r="K97" s="61"/>
      <x:c r="L97" s="50" t="str">
        <x:v>待核</x:v>
      </x:c>
      <x:c r="M97" s="50" t="str">
        <x:v>待核</x:v>
      </x:c>
      <x:c r="N97" s="57" t="str">
        <x:f>IF(C97="","",IF(AND(F97&lt;&gt;"",G97&lt;&gt;"",H97&lt;&gt;"",I97&lt;&gt;"",L97="是",M97="否"),"计1项",IF(AND(H97&lt;&gt;"",I97&lt;&gt;"",L97="是",M97="否"),"中等证据","保守不计")))</x:f>
      </x:c>
      <x:c r="O97" s="57" t="n">
        <x:f>IF(OR(N97="计1项",N97="中等证据"),1,0)</x:f>
        <x:v>0</x:v>
      </x:c>
      <x:c r="P97" s="50" t="str"/>
    </x:row>
    <x:row r="98">
      <x:c r="A98" s="49" t="str">
        <x:v>CT94</x:v>
      </x:c>
      <x:c r="B98" s="50"/>
      <x:c r="C98" s="50" t="str"/>
      <x:c r="D98" s="50" t="str"/>
      <x:c r="E98" s="50" t="str"/>
      <x:c r="F98" s="50" t="str"/>
      <x:c r="G98" s="50" t="str"/>
      <x:c r="H98" s="50" t="str"/>
      <x:c r="I98" s="50" t="str"/>
      <x:c r="J98" s="50" t="str"/>
      <x:c r="K98" s="61"/>
      <x:c r="L98" s="50" t="str">
        <x:v>待核</x:v>
      </x:c>
      <x:c r="M98" s="50" t="str">
        <x:v>待核</x:v>
      </x:c>
      <x:c r="N98" s="57" t="str">
        <x:f>IF(C98="","",IF(AND(F98&lt;&gt;"",G98&lt;&gt;"",H98&lt;&gt;"",I98&lt;&gt;"",L98="是",M98="否"),"计1项",IF(AND(H98&lt;&gt;"",I98&lt;&gt;"",L98="是",M98="否"),"中等证据","保守不计")))</x:f>
      </x:c>
      <x:c r="O98" s="57" t="n">
        <x:f>IF(OR(N98="计1项",N98="中等证据"),1,0)</x:f>
        <x:v>0</x:v>
      </x:c>
      <x:c r="P98" s="50" t="str"/>
    </x:row>
    <x:row r="99">
      <x:c r="A99" s="49" t="str">
        <x:v>CT95</x:v>
      </x:c>
      <x:c r="B99" s="50"/>
      <x:c r="C99" s="50" t="str"/>
      <x:c r="D99" s="50" t="str"/>
      <x:c r="E99" s="50" t="str"/>
      <x:c r="F99" s="50" t="str"/>
      <x:c r="G99" s="50" t="str"/>
      <x:c r="H99" s="50" t="str"/>
      <x:c r="I99" s="50" t="str"/>
      <x:c r="J99" s="50" t="str"/>
      <x:c r="K99" s="61"/>
      <x:c r="L99" s="50" t="str">
        <x:v>待核</x:v>
      </x:c>
      <x:c r="M99" s="50" t="str">
        <x:v>待核</x:v>
      </x:c>
      <x:c r="N99" s="57" t="str">
        <x:f>IF(C99="","",IF(AND(F99&lt;&gt;"",G99&lt;&gt;"",H99&lt;&gt;"",I99&lt;&gt;"",L99="是",M99="否"),"计1项",IF(AND(H99&lt;&gt;"",I99&lt;&gt;"",L99="是",M99="否"),"中等证据","保守不计")))</x:f>
      </x:c>
      <x:c r="O99" s="57" t="n">
        <x:f>IF(OR(N99="计1项",N99="中等证据"),1,0)</x:f>
        <x:v>0</x:v>
      </x:c>
      <x:c r="P99" s="50" t="str"/>
    </x:row>
    <x:row r="100">
      <x:c r="A100" s="49" t="str">
        <x:v>CT96</x:v>
      </x:c>
      <x:c r="B100" s="50"/>
      <x:c r="C100" s="50" t="str"/>
      <x:c r="D100" s="50" t="str"/>
      <x:c r="E100" s="50" t="str"/>
      <x:c r="F100" s="50" t="str"/>
      <x:c r="G100" s="50" t="str"/>
      <x:c r="H100" s="50" t="str"/>
      <x:c r="I100" s="50" t="str"/>
      <x:c r="J100" s="50" t="str"/>
      <x:c r="K100" s="61"/>
      <x:c r="L100" s="50" t="str">
        <x:v>待核</x:v>
      </x:c>
      <x:c r="M100" s="50" t="str">
        <x:v>待核</x:v>
      </x:c>
      <x:c r="N100" s="57" t="str">
        <x:f>IF(C100="","",IF(AND(F100&lt;&gt;"",G100&lt;&gt;"",H100&lt;&gt;"",I100&lt;&gt;"",L100="是",M100="否"),"计1项",IF(AND(H100&lt;&gt;"",I100&lt;&gt;"",L100="是",M100="否"),"中等证据","保守不计")))</x:f>
      </x:c>
      <x:c r="O100" s="57" t="n">
        <x:f>IF(OR(N100="计1项",N100="中等证据"),1,0)</x:f>
        <x:v>0</x:v>
      </x:c>
      <x:c r="P100" s="50" t="str"/>
    </x:row>
    <x:row r="101">
      <x:c r="A101" s="49" t="str">
        <x:v>CT97</x:v>
      </x:c>
      <x:c r="B101" s="50"/>
      <x:c r="C101" s="50" t="str"/>
      <x:c r="D101" s="50" t="str"/>
      <x:c r="E101" s="50" t="str"/>
      <x:c r="F101" s="50" t="str"/>
      <x:c r="G101" s="50" t="str"/>
      <x:c r="H101" s="50" t="str"/>
      <x:c r="I101" s="50" t="str"/>
      <x:c r="J101" s="50" t="str"/>
      <x:c r="K101" s="61"/>
      <x:c r="L101" s="50" t="str">
        <x:v>待核</x:v>
      </x:c>
      <x:c r="M101" s="50" t="str">
        <x:v>待核</x:v>
      </x:c>
      <x:c r="N101" s="57" t="str">
        <x:f>IF(C101="","",IF(AND(F101&lt;&gt;"",G101&lt;&gt;"",H101&lt;&gt;"",I101&lt;&gt;"",L101="是",M101="否"),"计1项",IF(AND(H101&lt;&gt;"",I101&lt;&gt;"",L101="是",M101="否"),"中等证据","保守不计")))</x:f>
      </x:c>
      <x:c r="O101" s="57" t="n">
        <x:f>IF(OR(N101="计1项",N101="中等证据"),1,0)</x:f>
        <x:v>0</x:v>
      </x:c>
      <x:c r="P101" s="50" t="str"/>
    </x:row>
    <x:row r="102">
      <x:c r="A102" s="49" t="str">
        <x:v>CT98</x:v>
      </x:c>
      <x:c r="B102" s="50"/>
      <x:c r="C102" s="50" t="str"/>
      <x:c r="D102" s="50" t="str"/>
      <x:c r="E102" s="50" t="str"/>
      <x:c r="F102" s="50" t="str"/>
      <x:c r="G102" s="50" t="str"/>
      <x:c r="H102" s="50" t="str"/>
      <x:c r="I102" s="50" t="str"/>
      <x:c r="J102" s="50" t="str"/>
      <x:c r="K102" s="61"/>
      <x:c r="L102" s="50" t="str">
        <x:v>待核</x:v>
      </x:c>
      <x:c r="M102" s="50" t="str">
        <x:v>待核</x:v>
      </x:c>
      <x:c r="N102" s="57" t="str">
        <x:f>IF(C102="","",IF(AND(F102&lt;&gt;"",G102&lt;&gt;"",H102&lt;&gt;"",I102&lt;&gt;"",L102="是",M102="否"),"计1项",IF(AND(H102&lt;&gt;"",I102&lt;&gt;"",L102="是",M102="否"),"中等证据","保守不计")))</x:f>
      </x:c>
      <x:c r="O102" s="57" t="n">
        <x:f>IF(OR(N102="计1项",N102="中等证据"),1,0)</x:f>
        <x:v>0</x:v>
      </x:c>
      <x:c r="P102" s="50" t="str"/>
    </x:row>
    <x:row r="103">
      <x:c r="A103" s="49" t="str">
        <x:v>CT99</x:v>
      </x:c>
      <x:c r="B103" s="50"/>
      <x:c r="C103" s="50" t="str"/>
      <x:c r="D103" s="50" t="str"/>
      <x:c r="E103" s="50" t="str"/>
      <x:c r="F103" s="50" t="str"/>
      <x:c r="G103" s="50" t="str"/>
      <x:c r="H103" s="50" t="str"/>
      <x:c r="I103" s="50" t="str"/>
      <x:c r="J103" s="50" t="str"/>
      <x:c r="K103" s="61"/>
      <x:c r="L103" s="50" t="str">
        <x:v>待核</x:v>
      </x:c>
      <x:c r="M103" s="50" t="str">
        <x:v>待核</x:v>
      </x:c>
      <x:c r="N103" s="57" t="str">
        <x:f>IF(C103="","",IF(AND(F103&lt;&gt;"",G103&lt;&gt;"",H103&lt;&gt;"",I103&lt;&gt;"",L103="是",M103="否"),"计1项",IF(AND(H103&lt;&gt;"",I103&lt;&gt;"",L103="是",M103="否"),"中等证据","保守不计")))</x:f>
      </x:c>
      <x:c r="O103" s="57" t="n">
        <x:f>IF(OR(N103="计1项",N103="中等证据"),1,0)</x:f>
        <x:v>0</x:v>
      </x:c>
      <x:c r="P103" s="50" t="str"/>
    </x:row>
    <x:row r="104">
      <x:c r="A104" s="49" t="str">
        <x:v>CT100</x:v>
      </x:c>
      <x:c r="B104" s="50"/>
      <x:c r="C104" s="50" t="str"/>
      <x:c r="D104" s="50" t="str"/>
      <x:c r="E104" s="50" t="str"/>
      <x:c r="F104" s="50" t="str"/>
      <x:c r="G104" s="50" t="str"/>
      <x:c r="H104" s="50" t="str"/>
      <x:c r="I104" s="50" t="str"/>
      <x:c r="J104" s="50" t="str"/>
      <x:c r="K104" s="61"/>
      <x:c r="L104" s="50" t="str">
        <x:v>待核</x:v>
      </x:c>
      <x:c r="M104" s="50" t="str">
        <x:v>待核</x:v>
      </x:c>
      <x:c r="N104" s="57" t="str">
        <x:f>IF(C104="","",IF(AND(F104&lt;&gt;"",G104&lt;&gt;"",H104&lt;&gt;"",I104&lt;&gt;"",L104="是",M104="否"),"计1项",IF(AND(H104&lt;&gt;"",I104&lt;&gt;"",L104="是",M104="否"),"中等证据","保守不计")))</x:f>
      </x:c>
      <x:c r="O104" s="57" t="n">
        <x:f>IF(OR(N104="计1项",N104="中等证据"),1,0)</x:f>
        <x:v>0</x:v>
      </x:c>
      <x:c r="P104" s="50" t="str"/>
    </x:row>
  </x:sheetData>
  <x:mergeCells>
    <x:mergeCell ref="A1:P1"/>
    <x:mergeCell ref="A2:P2"/>
  </x:mergeCells>
  <x:conditionalFormatting sqref="N5:N104">
    <x:cfRule type="containsText" dxfId="2" priority="1" operator="containsText" text="计1项"/>
    <x:cfRule type="containsText" dxfId="3" priority="2" operator="containsText" text="不计"/>
  </x:conditionalFormatting>
  <x:dataValidations count="3">
    <x:dataValidation type="whole" operator="between" sqref="B5:B104">
      <x:formula1>2000</x:formula1>
      <x:formula2>2100</x:formula2>
    </x:dataValidation>
    <x:dataValidation type="list" sqref="D5:D104">
      <x:formula1>"专利,软件著作权,技术诀窍,配方,工艺,研发项目成果,其他"</x:formula1>
    </x:dataValidation>
    <x:dataValidation type="list" sqref="L5:M104">
      <x:formula1>"是,否,待核"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9ff1b2fc68e4c0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12" hidden="0" customWidth="1"/>
    <x:col min="4" max="4" width="14" hidden="0" customWidth="1"/>
    <x:col min="5" max="5" width="36" hidden="0" customWidth="1"/>
    <x:col min="6" max="6" width="15" hidden="0" customWidth="1"/>
    <x:col min="7" max="7" width="12" hidden="0" customWidth="1"/>
    <x:col min="8" max="8" width="12" hidden="0" customWidth="1"/>
    <x:col min="9" max="9" width="12" hidden="0" customWidth="1"/>
    <x:col min="10" max="10" width="16" hidden="0" customWidth="1"/>
    <x:col min="11" max="11" width="36" hidden="0" customWidth="1"/>
  </x:cols>
  <x:sheetData>
    <x:row r="1" ht="19.200000762939453" hidden="0" customHeight="1">
      <x:c r="A1" s="46" t="str">
        <x:v>研发组织管理证据评分</x:v>
      </x:c>
      <x:c r="B1" s="46" t="str">
        <x:v>研发组织管理证据评分</x:v>
      </x:c>
      <x:c r="C1" s="46" t="str">
        <x:v>研发组织管理证据评分</x:v>
      </x:c>
      <x:c r="D1" s="46" t="str">
        <x:v>研发组织管理证据评分</x:v>
      </x:c>
      <x:c r="E1" s="46" t="str">
        <x:v>研发组织管理证据评分</x:v>
      </x:c>
      <x:c r="F1" s="46" t="str">
        <x:v>研发组织管理证据评分</x:v>
      </x:c>
      <x:c r="G1" s="46" t="str">
        <x:v>研发组织管理证据评分</x:v>
      </x:c>
      <x:c r="H1" s="46" t="str">
        <x:v>研发组织管理证据评分</x:v>
      </x:c>
      <x:c r="I1" s="46" t="str">
        <x:v>研发组织管理证据评分</x:v>
      </x:c>
      <x:c r="J1" s="46" t="str">
        <x:v>研发组织管理证据评分</x:v>
      </x:c>
      <x:c r="K1" s="46" t="str">
        <x:v>研发组织管理证据评分</x:v>
      </x:c>
    </x:row>
    <x:row r="2" ht="15" hidden="0" customHeight="1">
      <x:c r="A2" s="40" t="str">
        <x:v>内部拆分仅用于预评估。保守分必须由真实执行记录支撑，不能以制度文本代替执行。</x:v>
      </x:c>
      <x:c r="B2" s="40" t="str">
        <x:v>内部拆分仅用于预评估。保守分必须由真实执行记录支撑，不能以制度文本代替执行。</x:v>
      </x:c>
      <x:c r="C2" s="40" t="str">
        <x:v>内部拆分仅用于预评估。保守分必须由真实执行记录支撑，不能以制度文本代替执行。</x:v>
      </x:c>
      <x:c r="D2" s="40" t="str">
        <x:v>内部拆分仅用于预评估。保守分必须由真实执行记录支撑，不能以制度文本代替执行。</x:v>
      </x:c>
      <x:c r="E2" s="40" t="str">
        <x:v>内部拆分仅用于预评估。保守分必须由真实执行记录支撑，不能以制度文本代替执行。</x:v>
      </x:c>
      <x:c r="F2" s="40" t="str">
        <x:v>内部拆分仅用于预评估。保守分必须由真实执行记录支撑，不能以制度文本代替执行。</x:v>
      </x:c>
      <x:c r="G2" s="40" t="str">
        <x:v>内部拆分仅用于预评估。保守分必须由真实执行记录支撑，不能以制度文本代替执行。</x:v>
      </x:c>
      <x:c r="H2" s="40" t="str">
        <x:v>内部拆分仅用于预评估。保守分必须由真实执行记录支撑，不能以制度文本代替执行。</x:v>
      </x:c>
      <x:c r="I2" s="40" t="str">
        <x:v>内部拆分仅用于预评估。保守分必须由真实执行记录支撑，不能以制度文本代替执行。</x:v>
      </x:c>
      <x:c r="J2" s="40" t="str">
        <x:v>内部拆分仅用于预评估。保守分必须由真实执行记录支撑，不能以制度文本代替执行。</x:v>
      </x:c>
      <x:c r="K2" s="40" t="str">
        <x:v>内部拆分仅用于预评估。保守分必须由真实执行记录支撑，不能以制度文本代替执行。</x:v>
      </x:c>
    </x:row>
    <x:row r="3">
      <x:c r="A3" s="47"/>
      <x:c r="B3" s="47"/>
      <x:c r="C3" s="47"/>
      <x:c r="D3" s="47"/>
      <x:c r="E3" s="47"/>
      <x:c r="F3" s="47"/>
      <x:c r="G3" s="47"/>
      <x:c r="H3" s="47"/>
      <x:c r="I3" s="47"/>
      <x:c r="J3" s="47"/>
      <x:c r="K3" s="47"/>
    </x:row>
    <x:row r="4" ht="26.399999618530273" hidden="0" customHeight="1">
      <x:c r="A4" s="48" t="str">
        <x:v>维度</x:v>
      </x:c>
      <x:c r="B4" s="48" t="str">
        <x:v>核查事项</x:v>
      </x:c>
      <x:c r="C4" s="48" t="str">
        <x:v>参考上限</x:v>
      </x:c>
      <x:c r="D4" s="48" t="str">
        <x:v>事实状态</x:v>
      </x:c>
      <x:c r="E4" s="48" t="str">
        <x:v>直接证据/路径</x:v>
      </x:c>
      <x:c r="F4" s="48" t="str">
        <x:v>执行起始时间</x:v>
      </x:c>
      <x:c r="G4" s="48" t="str">
        <x:v>目标分</x:v>
      </x:c>
      <x:c r="H4" s="48" t="str">
        <x:v>保守分</x:v>
      </x:c>
      <x:c r="I4" s="48" t="str">
        <x:v>压力分</x:v>
      </x:c>
      <x:c r="J4" s="48" t="str">
        <x:v>缺口性质</x:v>
      </x:c>
      <x:c r="K4" s="48" t="str">
        <x:v>补强动作</x:v>
      </x:c>
    </x:row>
    <x:row r="5" ht="39.599998474121094" hidden="0" customHeight="1">
      <x:c r="A5" s="49" t="str">
        <x:v>研发管理与核算</x:v>
      </x:c>
      <x:c r="B5" s="49" t="str">
        <x:v>制度正式发布、职责清楚</x:v>
      </x:c>
      <x:c r="C5" s="65" t="n">
        <x:v>1</x:v>
      </x:c>
      <x:c r="D5" s="50" t="str">
        <x:v>待核</x:v>
      </x:c>
      <x:c r="E5" s="50" t="str"/>
      <x:c r="F5" s="55"/>
      <x:c r="G5" s="50"/>
      <x:c r="H5" s="50"/>
      <x:c r="I5" s="50"/>
      <x:c r="J5" s="50" t="str"/>
      <x:c r="K5" s="50" t="str"/>
    </x:row>
    <x:row r="6" ht="52.79999923706055" hidden="0" customHeight="1">
      <x:c r="A6" s="49" t="str">
        <x:v>研发管理与核算</x:v>
      </x:c>
      <x:c r="B6" s="49" t="str">
        <x:v>真实立项、评审、过程和结题</x:v>
      </x:c>
      <x:c r="C6" s="65" t="n">
        <x:v>2</x:v>
      </x:c>
      <x:c r="D6" s="50" t="str">
        <x:v>待核</x:v>
      </x:c>
      <x:c r="E6" s="50" t="str"/>
      <x:c r="F6" s="55"/>
      <x:c r="G6" s="50"/>
      <x:c r="H6" s="50"/>
      <x:c r="I6" s="50"/>
      <x:c r="J6" s="50" t="str"/>
      <x:c r="K6" s="50" t="str"/>
    </x:row>
    <x:row r="7" ht="39.599998474121094" hidden="0" customHeight="1">
      <x:c r="A7" s="49" t="str">
        <x:v>研发管理与核算</x:v>
      </x:c>
      <x:c r="B7" s="49" t="str">
        <x:v>研发核算体系和辅助账</x:v>
      </x:c>
      <x:c r="C7" s="65" t="n">
        <x:v>2</x:v>
      </x:c>
      <x:c r="D7" s="50" t="str">
        <x:v>待核</x:v>
      </x:c>
      <x:c r="E7" s="50" t="str"/>
      <x:c r="F7" s="55"/>
      <x:c r="G7" s="50"/>
      <x:c r="H7" s="50"/>
      <x:c r="I7" s="50"/>
      <x:c r="J7" s="50" t="str"/>
      <x:c r="K7" s="50" t="str"/>
    </x:row>
    <x:row r="8" ht="52.79999923706055" hidden="0" customHeight="1">
      <x:c r="A8" s="49" t="str">
        <x:v>研发管理与核算</x:v>
      </x:c>
      <x:c r="B8" s="49" t="str">
        <x:v>项目、人员、费用、成果对应</x:v>
      </x:c>
      <x:c r="C8" s="65" t="n">
        <x:v>1</x:v>
      </x:c>
      <x:c r="D8" s="50" t="str">
        <x:v>待核</x:v>
      </x:c>
      <x:c r="E8" s="50" t="str"/>
      <x:c r="F8" s="55"/>
      <x:c r="G8" s="50"/>
      <x:c r="H8" s="50"/>
      <x:c r="I8" s="50"/>
      <x:c r="J8" s="50" t="str"/>
      <x:c r="K8" s="50" t="str"/>
    </x:row>
    <x:row r="9" ht="39.599998474121094" hidden="0" customHeight="1">
      <x:c r="A9" s="49" t="str">
        <x:v>研发机构与条件</x:v>
      </x:c>
      <x:c r="B9" s="49" t="str">
        <x:v>内部研发机构及职责</x:v>
      </x:c>
      <x:c r="C9" s="65" t="n">
        <x:v>2</x:v>
      </x:c>
      <x:c r="D9" s="50" t="str">
        <x:v>待核</x:v>
      </x:c>
      <x:c r="E9" s="50" t="str"/>
      <x:c r="F9" s="55"/>
      <x:c r="G9" s="50"/>
      <x:c r="H9" s="50"/>
      <x:c r="I9" s="50"/>
      <x:c r="J9" s="50" t="str"/>
      <x:c r="K9" s="50" t="str"/>
    </x:row>
    <x:row r="10" ht="52.79999923706055" hidden="0" customHeight="1">
      <x:c r="A10" s="49" t="str">
        <x:v>研发机构与条件</x:v>
      </x:c>
      <x:c r="B10" s="49" t="str">
        <x:v>人员、场地、设备和试验条件</x:v>
      </x:c>
      <x:c r="C10" s="65" t="n">
        <x:v>2</x:v>
      </x:c>
      <x:c r="D10" s="50" t="str">
        <x:v>待核</x:v>
      </x:c>
      <x:c r="E10" s="50" t="str"/>
      <x:c r="F10" s="55"/>
      <x:c r="G10" s="50"/>
      <x:c r="H10" s="50"/>
      <x:c r="I10" s="50"/>
      <x:c r="J10" s="50" t="str"/>
      <x:c r="K10" s="50" t="str"/>
    </x:row>
    <x:row r="11" ht="39.599998474121094" hidden="0" customHeight="1">
      <x:c r="A11" s="49" t="str">
        <x:v>研发机构与条件</x:v>
      </x:c>
      <x:c r="B11" s="49" t="str">
        <x:v>产学研合作及实际技术交付</x:v>
      </x:c>
      <x:c r="C11" s="65" t="n">
        <x:v>2</x:v>
      </x:c>
      <x:c r="D11" s="50" t="str">
        <x:v>待核</x:v>
      </x:c>
      <x:c r="E11" s="50" t="str"/>
      <x:c r="F11" s="55"/>
      <x:c r="G11" s="50"/>
      <x:c r="H11" s="50"/>
      <x:c r="I11" s="50"/>
      <x:c r="J11" s="50" t="str"/>
      <x:c r="K11" s="50" t="str"/>
    </x:row>
    <x:row r="12" ht="39.599998474121094" hidden="0" customHeight="1">
      <x:c r="A12" s="49" t="str">
        <x:v>成果转化与激励</x:v>
      </x:c>
      <x:c r="B12" s="49" t="str">
        <x:v>成果转化组织实施制度</x:v>
      </x:c>
      <x:c r="C12" s="65" t="n">
        <x:v>1</x:v>
      </x:c>
      <x:c r="D12" s="50" t="str">
        <x:v>待核</x:v>
      </x:c>
      <x:c r="E12" s="50" t="str"/>
      <x:c r="F12" s="55"/>
      <x:c r="G12" s="50"/>
      <x:c r="H12" s="50"/>
      <x:c r="I12" s="50"/>
      <x:c r="J12" s="50" t="str"/>
      <x:c r="K12" s="50" t="str"/>
    </x:row>
    <x:row r="13" ht="26.399999618530273" hidden="0" customHeight="1">
      <x:c r="A13" s="49" t="str">
        <x:v>成果转化与激励</x:v>
      </x:c>
      <x:c r="B13" s="49" t="str">
        <x:v>激励奖励制度</x:v>
      </x:c>
      <x:c r="C13" s="65" t="n">
        <x:v>1</x:v>
      </x:c>
      <x:c r="D13" s="50" t="str">
        <x:v>待核</x:v>
      </x:c>
      <x:c r="E13" s="50" t="str"/>
      <x:c r="F13" s="55"/>
      <x:c r="G13" s="50"/>
      <x:c r="H13" s="50"/>
      <x:c r="I13" s="50"/>
      <x:c r="J13" s="50" t="str"/>
      <x:c r="K13" s="50" t="str"/>
    </x:row>
    <x:row r="14" ht="26.399999618530273" hidden="0" customHeight="1">
      <x:c r="A14" s="49" t="str">
        <x:v>成果转化与激励</x:v>
      </x:c>
      <x:c r="B14" s="49" t="str">
        <x:v>实际奖励记录</x:v>
      </x:c>
      <x:c r="C14" s="65" t="n">
        <x:v>1</x:v>
      </x:c>
      <x:c r="D14" s="50" t="str">
        <x:v>待核</x:v>
      </x:c>
      <x:c r="E14" s="50" t="str"/>
      <x:c r="F14" s="55"/>
      <x:c r="G14" s="50"/>
      <x:c r="H14" s="50"/>
      <x:c r="I14" s="50"/>
      <x:c r="J14" s="50" t="str"/>
      <x:c r="K14" s="50" t="str"/>
    </x:row>
    <x:row r="15" ht="39.599998474121094" hidden="0" customHeight="1">
      <x:c r="A15" s="49" t="str">
        <x:v>成果转化与激励</x:v>
      </x:c>
      <x:c r="B15" s="49" t="str">
        <x:v>开放创新平台或活动</x:v>
      </x:c>
      <x:c r="C15" s="65" t="n">
        <x:v>1</x:v>
      </x:c>
      <x:c r="D15" s="50" t="str">
        <x:v>待核</x:v>
      </x:c>
      <x:c r="E15" s="50" t="str"/>
      <x:c r="F15" s="55"/>
      <x:c r="G15" s="50"/>
      <x:c r="H15" s="50"/>
      <x:c r="I15" s="50"/>
      <x:c r="J15" s="50" t="str"/>
      <x:c r="K15" s="50" t="str"/>
    </x:row>
    <x:row r="16" ht="39.599998474121094" hidden="0" customHeight="1">
      <x:c r="A16" s="49" t="str">
        <x:v>人才培养与绩效</x:v>
      </x:c>
      <x:c r="B16" s="49" t="str">
        <x:v>培养、培训和人才引进</x:v>
      </x:c>
      <x:c r="C16" s="65" t="n">
        <x:v>2</x:v>
      </x:c>
      <x:c r="D16" s="50" t="str">
        <x:v>待核</x:v>
      </x:c>
      <x:c r="E16" s="50" t="str"/>
      <x:c r="F16" s="55"/>
      <x:c r="G16" s="50"/>
      <x:c r="H16" s="50"/>
      <x:c r="I16" s="50"/>
      <x:c r="J16" s="50" t="str"/>
      <x:c r="K16" s="50" t="str"/>
    </x:row>
    <x:row r="17" ht="39.599998474121094" hidden="0" customHeight="1">
      <x:c r="A17" s="49" t="str">
        <x:v>人才培养与绩效</x:v>
      </x:c>
      <x:c r="B17" s="49" t="str">
        <x:v>绩效评价及实际奖励</x:v>
      </x:c>
      <x:c r="C17" s="65" t="n">
        <x:v>2</x:v>
      </x:c>
      <x:c r="D17" s="50" t="str">
        <x:v>待核</x:v>
      </x:c>
      <x:c r="E17" s="50" t="str"/>
      <x:c r="F17" s="55"/>
      <x:c r="G17" s="50"/>
      <x:c r="H17" s="50"/>
      <x:c r="I17" s="50"/>
      <x:c r="J17" s="50" t="str"/>
      <x:c r="K17" s="50" t="str"/>
    </x:row>
    <x:row r="18">
      <x:c r="A18" s="47"/>
      <x:c r="B18" s="47"/>
      <x:c r="C18" s="47"/>
      <x:c r="D18" s="47"/>
      <x:c r="E18" s="47"/>
      <x:c r="F18" s="47"/>
      <x:c r="G18" s="47"/>
      <x:c r="H18" s="47"/>
      <x:c r="I18" s="47"/>
      <x:c r="J18" s="47"/>
      <x:c r="K18" s="47"/>
    </x:row>
    <x:row r="19" ht="15" hidden="0" customHeight="1">
      <x:c r="A19" s="48" t="str">
        <x:v>汇总</x:v>
      </x:c>
      <x:c r="B19" s="48" t="str">
        <x:v>参考上限</x:v>
      </x:c>
      <x:c r="C19" s="48" t="str">
        <x:v>目标分</x:v>
      </x:c>
      <x:c r="D19" s="48" t="str">
        <x:v>保守分</x:v>
      </x:c>
      <x:c r="E19" s="48" t="str">
        <x:v>压力分</x:v>
      </x:c>
      <x:c r="F19" s="48" t="str">
        <x:v>校验</x:v>
      </x:c>
      <x:c r="G19" s="47"/>
      <x:c r="H19" s="47"/>
      <x:c r="I19" s="47"/>
      <x:c r="J19" s="47"/>
      <x:c r="K19" s="47"/>
    </x:row>
    <x:row r="20" ht="15" hidden="0" customHeight="1">
      <x:c r="A20" s="47" t="str">
        <x:v>研发组织管理合计</x:v>
      </x:c>
      <x:c r="B20" s="57" t="n">
        <x:f>SUM(C5:C17)</x:f>
        <x:v>20</x:v>
      </x:c>
      <x:c r="C20" s="57" t="n">
        <x:f>SUM(G5:G17)</x:f>
        <x:v>0</x:v>
      </x:c>
      <x:c r="D20" s="57" t="n">
        <x:f>SUM(H5:H17)</x:f>
        <x:v>0</x:v>
      </x:c>
      <x:c r="E20" s="57" t="n">
        <x:f>SUM(I5:I17)</x:f>
        <x:v>0</x:v>
      </x:c>
      <x:c r="F20" s="57" t="str">
        <x:f>IF(AND(E20&lt;=D20,D20&lt;=C20,C20&lt;=B20),"通过","检查压力≤保守≤目标及上限")</x:f>
        <x:v>通过</x:v>
      </x:c>
      <x:c r="G20" s="47"/>
      <x:c r="H20" s="47"/>
      <x:c r="I20" s="47"/>
      <x:c r="J20" s="47"/>
      <x:c r="K20" s="47"/>
    </x:row>
    <x:row r="21" ht="26.399999618530273" hidden="0" customHeight="1">
      <x:c r="A21" s="47" t="str">
        <x:v>关系校验</x:v>
      </x:c>
      <x:c r="B21" s="57" t="str"/>
      <x:c r="C21" s="57" t="str"/>
      <x:c r="D21" s="57" t="str"/>
      <x:c r="E21" s="57" t="str"/>
      <x:c r="F21" s="57" t="str">
        <x:f>IF(COUNTIF(D5:D17,"待核")&gt;0,"仍有待核项","状态已填写")</x:f>
        <x:v>仍有待核项</x:v>
      </x:c>
      <x:c r="G21" s="47"/>
      <x:c r="H21" s="47"/>
      <x:c r="I21" s="47"/>
      <x:c r="J21" s="47"/>
      <x:c r="K21" s="47"/>
    </x:row>
    <x:row r="22" ht="26.399999618530273" hidden="0" customHeight="1">
      <x:c r="A22" s="47" t="str">
        <x:v>结论</x:v>
      </x:c>
      <x:c r="B22" s="57" t="str"/>
      <x:c r="C22" s="57" t="str"/>
      <x:c r="D22" s="57" t="str"/>
      <x:c r="E22" s="57" t="str"/>
      <x:c r="F22" s="57" t="str">
        <x:f>IF(F20&lt;&gt;"通过","不可用于评分",IF(D20&gt;=18,"证据较强",IF(D20&gt;=16,"存在压分风险","需实质补强")))</x:f>
        <x:v>需实质补强</x:v>
      </x:c>
      <x:c r="G22" s="47"/>
      <x:c r="H22" s="47"/>
      <x:c r="I22" s="47"/>
      <x:c r="J22" s="47"/>
      <x:c r="K22" s="47"/>
    </x:row>
  </x:sheetData>
  <x:mergeCells>
    <x:mergeCell ref="A1:K1"/>
    <x:mergeCell ref="A2:K2"/>
  </x:mergeCells>
  <x:dataValidations count="3">
    <x:dataValidation type="list" sqref="D5:D17">
      <x:formula1>"已执行,仅有制度,未执行,待核"</x:formula1>
    </x:dataValidation>
    <x:dataValidation type="decimal" operator="between" sqref="G5:I17">
      <x:formula1>0</x:formula1>
      <x:formula2>2</x:formula2>
    </x:dataValidation>
    <x:dataValidation type="list" sqref="J5:J17">
      <x:formula1>"证据补强,事实补强,无缺口,待核"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0" hidden="0" customWidth="1"/>
    <x:col min="9" max="9" width="38" hidden="0" customWidth="1"/>
    <x:col min="10" max="10" width="34" hidden="0" customWidth="1"/>
  </x:cols>
  <x:sheetData>
    <x:row r="1" ht="19.200000762939453" hidden="0" customHeight="1">
      <x:c r="A1" s="46" t="str">
        <x:v>双年度评分与申报建议</x:v>
      </x:c>
      <x:c r="B1" s="46" t="str">
        <x:v>双年度评分与申报建议</x:v>
      </x:c>
      <x:c r="C1" s="46" t="str">
        <x:v>双年度评分与申报建议</x:v>
      </x:c>
      <x:c r="D1" s="46" t="str">
        <x:v>双年度评分与申报建议</x:v>
      </x:c>
      <x:c r="E1" s="46" t="str">
        <x:v>双年度评分与申报建议</x:v>
      </x:c>
      <x:c r="F1" s="46" t="str">
        <x:v>双年度评分与申报建议</x:v>
      </x:c>
      <x:c r="G1" s="46" t="str">
        <x:v>双年度评分与申报建议</x:v>
      </x:c>
      <x:c r="H1" s="46" t="str">
        <x:v>双年度评分与申报建议</x:v>
      </x:c>
      <x:c r="I1" s="46" t="str">
        <x:v>双年度评分与申报建议</x:v>
      </x:c>
      <x:c r="J1" s="46" t="str">
        <x:v>双年度评分与申报建议</x:v>
      </x:c>
    </x:row>
    <x:row r="2" ht="15" hidden="0" customHeight="1">
      <x:c r="A2" s="40" t="str">
        <x:v>以保守分作为主要决策依据，以压力分识别专家争议；知识产权三档分需按证据规则人工评定。</x:v>
      </x:c>
      <x:c r="B2" s="40" t="str">
        <x:v>以保守分作为主要决策依据，以压力分识别专家争议；知识产权三档分需按证据规则人工评定。</x:v>
      </x:c>
      <x:c r="C2" s="40" t="str">
        <x:v>以保守分作为主要决策依据，以压力分识别专家争议；知识产权三档分需按证据规则人工评定。</x:v>
      </x:c>
      <x:c r="D2" s="40" t="str">
        <x:v>以保守分作为主要决策依据，以压力分识别专家争议；知识产权三档分需按证据规则人工评定。</x:v>
      </x:c>
      <x:c r="E2" s="40" t="str">
        <x:v>以保守分作为主要决策依据，以压力分识别专家争议；知识产权三档分需按证据规则人工评定。</x:v>
      </x:c>
      <x:c r="F2" s="40" t="str">
        <x:v>以保守分作为主要决策依据，以压力分识别专家争议；知识产权三档分需按证据规则人工评定。</x:v>
      </x:c>
      <x:c r="G2" s="40" t="str">
        <x:v>以保守分作为主要决策依据，以压力分识别专家争议；知识产权三档分需按证据规则人工评定。</x:v>
      </x:c>
      <x:c r="H2" s="40" t="str">
        <x:v>以保守分作为主要决策依据，以压力分识别专家争议；知识产权三档分需按证据规则人工评定。</x:v>
      </x:c>
      <x:c r="I2" s="40" t="str">
        <x:v>以保守分作为主要决策依据，以压力分识别专家争议；知识产权三档分需按证据规则人工评定。</x:v>
      </x:c>
      <x:c r="J2" s="40" t="str">
        <x:v>以保守分作为主要决策依据，以压力分识别专家争议；知识产权三档分需按证据规则人工评定。</x:v>
      </x:c>
    </x:row>
    <x:row r="3">
      <x:c r="A3" s="47"/>
      <x:c r="B3" s="47"/>
      <x:c r="C3" s="47"/>
      <x:c r="D3" s="47"/>
      <x:c r="E3" s="47"/>
      <x:c r="F3" s="47"/>
      <x:c r="G3" s="47"/>
      <x:c r="H3" s="47"/>
      <x:c r="I3" s="47"/>
      <x:c r="J3" s="47"/>
    </x:row>
    <x:row r="4" ht="26.399999618530273" hidden="0" customHeight="1">
      <x:c r="A4" s="48" t="str">
        <x:v>指标</x:v>
      </x:c>
      <x:c r="B4" s="48" t="str">
        <x:v>当年目标分</x:v>
      </x:c>
      <x:c r="C4" s="48" t="str">
        <x:v>当年保守分</x:v>
      </x:c>
      <x:c r="D4" s="48" t="str">
        <x:v>当年压力分</x:v>
      </x:c>
      <x:c r="E4" s="48" t="str">
        <x:v>下一年目标分</x:v>
      </x:c>
      <x:c r="F4" s="48" t="str">
        <x:v>下一年保守分</x:v>
      </x:c>
      <x:c r="G4" s="48" t="str">
        <x:v>下一年压力分</x:v>
      </x:c>
      <x:c r="H4" s="48" t="str">
        <x:v>满分</x:v>
      </x:c>
      <x:c r="I4" s="48" t="str">
        <x:v>评分依据</x:v>
      </x:c>
      <x:c r="J4" s="48" t="str">
        <x:v>补强重点</x:v>
      </x:c>
    </x:row>
    <x:row r="5" ht="66" hidden="0" customHeight="1">
      <x:c r="A5" s="49" t="str">
        <x:v>知识产权</x:v>
      </x:c>
      <x:c r="B5" s="50"/>
      <x:c r="C5" s="50"/>
      <x:c r="D5" s="50"/>
      <x:c r="E5" s="50"/>
      <x:c r="F5" s="50"/>
      <x:c r="G5" s="50"/>
      <x:c r="H5" s="49" t="n">
        <x:v>30</x:v>
      </x:c>
      <x:c r="I5" s="49" t="str">
        <x:v>按先进性、核心支持、数量和获得方式评定</x:v>
      </x:c>
      <x:c r="J5" s="50" t="str"/>
    </x:row>
    <x:row r="6" ht="52.79999923706055" hidden="0" customHeight="1">
      <x:c r="A6" s="49" t="str">
        <x:v>科技成果转化</x:v>
      </x:c>
      <x:c r="B6" s="57" t="n">
        <x:f>IF(B18&gt;=5,30,IF(B18&gt;=4,24,IF(B18&gt;=3,18,IF(B18&gt;=2,12,IF(B18&gt;=1,6,0)))))</x:f>
        <x:v>0</x:v>
      </x:c>
      <x:c r="C6" s="57" t="n">
        <x:f>IF(B18&gt;=5,25,IF(B18&gt;=4,19,IF(B18&gt;=3,13,IF(B18&gt;=2,7,IF(B18&gt;=1,1,0)))))</x:f>
        <x:v>0</x:v>
      </x:c>
      <x:c r="D6" s="57" t="n">
        <x:f>IF(C6=0,0,MAX(0,C6-2))</x:f>
        <x:v>0</x:v>
      </x:c>
      <x:c r="E6" s="57" t="n">
        <x:f>IF(E18&gt;=5,30,IF(E18&gt;=4,24,IF(E18&gt;=3,18,IF(E18&gt;=2,12,IF(E18&gt;=1,6,0)))))</x:f>
        <x:v>0</x:v>
      </x:c>
      <x:c r="F6" s="57" t="n">
        <x:f>IF(E18&gt;=5,25,IF(E18&gt;=4,19,IF(E18&gt;=3,13,IF(E18&gt;=2,7,IF(E18&gt;=1,1,0)))))</x:f>
        <x:v>0</x:v>
      </x:c>
      <x:c r="G6" s="57" t="n">
        <x:f>IF(F6=0,0,MAX(0,F6-2))</x:f>
        <x:v>0</x:v>
      </x:c>
      <x:c r="H6" s="49" t="n">
        <x:v>30</x:v>
      </x:c>
      <x:c r="I6" s="49" t="str">
        <x:v>按近三年年平均数及证据质量评定</x:v>
      </x:c>
      <x:c r="J6" s="50" t="str"/>
    </x:row>
    <x:row r="7" ht="26.399999618530273" hidden="0" customHeight="1">
      <x:c r="A7" s="49" t="str">
        <x:v>研发组织管理</x:v>
      </x:c>
      <x:c r="B7" s="57" t="n">
        <x:f>'组织管理'!C20</x:f>
        <x:v>0</x:v>
      </x:c>
      <x:c r="C7" s="57" t="n">
        <x:f>'组织管理'!D20</x:f>
        <x:v>0</x:v>
      </x:c>
      <x:c r="D7" s="57" t="n">
        <x:f>'组织管理'!E20</x:f>
        <x:v>0</x:v>
      </x:c>
      <x:c r="E7" s="57" t="n">
        <x:f>'组织管理'!C20</x:f>
        <x:v>0</x:v>
      </x:c>
      <x:c r="F7" s="57" t="n">
        <x:f>'组织管理'!D20</x:f>
        <x:v>0</x:v>
      </x:c>
      <x:c r="G7" s="57" t="n">
        <x:f>'组织管理'!E20</x:f>
        <x:v>0</x:v>
      </x:c>
      <x:c r="H7" s="49" t="n">
        <x:v>20</x:v>
      </x:c>
      <x:c r="I7" s="49" t="str">
        <x:v>从组织管理表汇总</x:v>
      </x:c>
      <x:c r="J7" s="50" t="str"/>
    </x:row>
    <x:row r="8" ht="26.399999618530273" hidden="0" customHeight="1">
      <x:c r="A8" s="49" t="str">
        <x:v>企业成长性</x:v>
      </x:c>
      <x:c r="B8" s="57" t="n">
        <x:f>IF('财务与成长性'!B25&lt;=0,0,IF('财务与成长性'!B25&gt;=35%,10,IF('财务与成长性'!B25&gt;=25%,8,IF('财务与成长性'!B25&gt;=15%,6,IF('财务与成长性'!B25&gt;=5%,4,2)))))+IF('财务与成长性'!B26&lt;=0,0,IF('财务与成长性'!B26&gt;=35%,10,IF('财务与成长性'!B26&gt;=25%,8,IF('财务与成长性'!B26&gt;=15%,6,IF('财务与成长性'!B26&gt;=5%,4,2)))))</x:f>
        <x:v>0</x:v>
      </x:c>
      <x:c r="C8" s="57" t="n">
        <x:f>'财务与成长性'!D25+'财务与成长性'!D26</x:f>
        <x:v>0</x:v>
      </x:c>
      <x:c r="D8" s="57" t="n">
        <x:f>C8</x:f>
        <x:v>0</x:v>
      </x:c>
      <x:c r="E8" s="57" t="n">
        <x:f>IF('财务与成长性'!E25&lt;=0,0,IF('财务与成长性'!E25&gt;=35%,10,IF('财务与成长性'!E25&gt;=25%,8,IF('财务与成长性'!E25&gt;=15%,6,IF('财务与成长性'!E25&gt;=5%,4,2)))))+IF('财务与成长性'!E26&lt;=0,0,IF('财务与成长性'!E26&gt;=35%,10,IF('财务与成长性'!E26&gt;=25%,8,IF('财务与成长性'!E26&gt;=15%,6,IF('财务与成长性'!E26&gt;=5%,4,2)))))</x:f>
        <x:v>0</x:v>
      </x:c>
      <x:c r="F8" s="57" t="n">
        <x:f>'财务与成长性'!G25+'财务与成长性'!G26</x:f>
        <x:v>0</x:v>
      </x:c>
      <x:c r="G8" s="57" t="n">
        <x:f>F8</x:f>
        <x:v>0</x:v>
      </x:c>
      <x:c r="H8" s="49" t="n">
        <x:v>20</x:v>
      </x:c>
      <x:c r="I8" s="49" t="str">
        <x:v>从财务表自动计算</x:v>
      </x:c>
      <x:c r="J8" s="50" t="str"/>
    </x:row>
    <x:row r="9">
      <x:c r="A9" s="47"/>
      <x:c r="B9" s="47"/>
      <x:c r="C9" s="47"/>
      <x:c r="D9" s="47"/>
      <x:c r="E9" s="47"/>
      <x:c r="F9" s="47"/>
      <x:c r="G9" s="47"/>
      <x:c r="H9" s="47"/>
      <x:c r="I9" s="47"/>
      <x:c r="J9" s="47"/>
    </x:row>
    <x:row r="10" ht="26.399999618530273" hidden="0" customHeight="1">
      <x:c r="A10" s="48" t="str">
        <x:v>汇总</x:v>
      </x:c>
      <x:c r="B10" s="48" t="str">
        <x:v>当年目标</x:v>
      </x:c>
      <x:c r="C10" s="48" t="str">
        <x:v>当年保守</x:v>
      </x:c>
      <x:c r="D10" s="48" t="str">
        <x:v>当年压力</x:v>
      </x:c>
      <x:c r="E10" s="48" t="str">
        <x:v>下一年目标</x:v>
      </x:c>
      <x:c r="F10" s="48" t="str">
        <x:v>下一年保守</x:v>
      </x:c>
      <x:c r="G10" s="48" t="str">
        <x:v>下一年压力</x:v>
      </x:c>
      <x:c r="H10" s="48" t="str">
        <x:v>满分</x:v>
      </x:c>
      <x:c r="I10" s="47"/>
      <x:c r="J10" s="47"/>
    </x:row>
    <x:row r="11" ht="15" hidden="0" customHeight="1">
      <x:c r="A11" s="47" t="str">
        <x:v>总分</x:v>
      </x:c>
      <x:c r="B11" s="57" t="n">
        <x:f>SUM(B5:B8)</x:f>
        <x:v>0</x:v>
      </x:c>
      <x:c r="C11" s="57" t="n">
        <x:f>SUM(C5:C8)</x:f>
        <x:v>0</x:v>
      </x:c>
      <x:c r="D11" s="57" t="n">
        <x:f>SUM(D5:D8)</x:f>
        <x:v>0</x:v>
      </x:c>
      <x:c r="E11" s="57" t="n">
        <x:f>SUM(E5:E8)</x:f>
        <x:v>0</x:v>
      </x:c>
      <x:c r="F11" s="57" t="n">
        <x:f>SUM(F5:F8)</x:f>
        <x:v>0</x:v>
      </x:c>
      <x:c r="G11" s="57" t="n">
        <x:f>SUM(G5:G8)</x:f>
        <x:v>0</x:v>
      </x:c>
      <x:c r="H11" s="47" t="n">
        <x:v>100</x:v>
      </x:c>
      <x:c r="I11" s="47"/>
      <x:c r="J11" s="47"/>
    </x:row>
    <x:row r="12" ht="15" hidden="0" customHeight="1">
      <x:c r="A12" s="47" t="str">
        <x:v>硬门槛</x:v>
      </x:c>
      <x:c r="B12" s="57" t="str">
        <x:f>'基础与硬门槛'!B25</x:f>
        <x:v>待核</x:v>
      </x:c>
      <x:c r="C12" s="57" t="str"/>
      <x:c r="D12" s="57" t="str"/>
      <x:c r="E12" s="57" t="str">
        <x:f>'基础与硬门槛'!B26</x:f>
        <x:v>待核</x:v>
      </x:c>
      <x:c r="F12" s="57" t="str"/>
      <x:c r="G12" s="57" t="str"/>
      <x:c r="H12" s="47" t="str"/>
      <x:c r="I12" s="47"/>
      <x:c r="J12" s="47"/>
    </x:row>
    <x:row r="13" ht="15" hidden="0" customHeight="1">
      <x:c r="A13" s="47" t="str">
        <x:v>建议</x:v>
      </x:c>
      <x:c r="B13" s="57" t="str">
        <x:f>IF(B12&lt;&gt;"通过","当年硬门槛未通过或待核，先整改",IF(C11&gt;=75,IF(D11&gt;=71,"建议今年申报","今年可报但专家争议较大"),IF(C11&gt;=71,"补强后今年申报",IF(AND(E12="通过",F11&gt;=75),"建议明年申报","两年均暂缓或继续补强"))))</x:f>
        <x:v>当年硬门槛未通过或待核，先整改</x:v>
      </x:c>
      <x:c r="C13" s="57" t="str"/>
      <x:c r="D13" s="57" t="str"/>
      <x:c r="E13" s="57" t="str"/>
      <x:c r="F13" s="57" t="str"/>
      <x:c r="G13" s="57" t="str"/>
      <x:c r="H13" s="57" t="str"/>
      <x:c r="I13" s="47"/>
      <x:c r="J13" s="47"/>
    </x:row>
    <x:row r="14">
      <x:c r="A14" s="47"/>
      <x:c r="B14" s="47"/>
      <x:c r="C14" s="47"/>
      <x:c r="D14" s="47"/>
      <x:c r="E14" s="47"/>
      <x:c r="F14" s="47"/>
      <x:c r="G14" s="47"/>
      <x:c r="H14" s="47"/>
      <x:c r="I14" s="47"/>
      <x:c r="J14" s="47"/>
    </x:row>
    <x:row r="15" ht="15" hidden="0" customHeight="1">
      <x:c r="A15" s="51" t="str">
        <x:v>滚动窗口计算</x:v>
      </x:c>
      <x:c r="B15" s="51" t="str">
        <x:v>滚动窗口计算</x:v>
      </x:c>
      <x:c r="C15" s="51" t="str">
        <x:v>滚动窗口计算</x:v>
      </x:c>
      <x:c r="D15" s="51" t="str">
        <x:v>滚动窗口计算</x:v>
      </x:c>
      <x:c r="E15" s="51" t="str">
        <x:v>滚动窗口计算</x:v>
      </x:c>
      <x:c r="F15" s="51" t="str">
        <x:v>滚动窗口计算</x:v>
      </x:c>
      <x:c r="G15" s="51" t="str">
        <x:v>滚动窗口计算</x:v>
      </x:c>
      <x:c r="H15" s="51" t="str">
        <x:v>滚动窗口计算</x:v>
      </x:c>
      <x:c r="I15" s="51" t="str">
        <x:v>滚动窗口计算</x:v>
      </x:c>
      <x:c r="J15" s="51" t="str">
        <x:v>滚动窗口计算</x:v>
      </x:c>
    </x:row>
    <x:row r="16" ht="15" hidden="0" customHeight="1">
      <x:c r="A16" s="48" t="str">
        <x:v>项目</x:v>
      </x:c>
      <x:c r="B16" s="48" t="str">
        <x:v>当年</x:v>
      </x:c>
      <x:c r="C16" s="48" t="str">
        <x:v>说明</x:v>
      </x:c>
      <x:c r="D16" s="48" t="str"/>
      <x:c r="E16" s="48" t="str">
        <x:v>下一年</x:v>
      </x:c>
      <x:c r="F16" s="48" t="str">
        <x:v>说明</x:v>
      </x:c>
      <x:c r="G16" s="48" t="str"/>
      <x:c r="H16" s="48" t="str"/>
      <x:c r="I16" s="48" t="str"/>
      <x:c r="J16" s="48" t="str"/>
    </x:row>
    <x:row r="17" ht="15" hidden="0" customHeight="1">
      <x:c r="A17" s="47" t="str">
        <x:v>保守有效成果数</x:v>
      </x:c>
      <x:c r="B17" s="67" t="n">
        <x:f>SUMIFS('成果转化'!$O$5:$O$104,'成果转化'!$B$5:$B$104,"&gt;="&amp;'财务与成长性'!B5,'成果转化'!$B$5:$B$104,"&lt;="&amp;'财务与成长性'!D5)</x:f>
        <x:v>0</x:v>
      </x:c>
      <x:c r="C17" s="47" t="str">
        <x:v>按三年度计数</x:v>
      </x:c>
      <x:c r="D17" s="47" t="str"/>
      <x:c r="E17" s="67" t="n">
        <x:f>SUMIFS('成果转化'!$O$5:$O$104,'成果转化'!$B$5:$B$104,"&gt;="&amp;'财务与成长性'!C5,'成果转化'!$B$5:$B$104,"&lt;="&amp;'财务与成长性'!E5)</x:f>
        <x:v>0</x:v>
      </x:c>
      <x:c r="F17" s="47" t="str">
        <x:v>按三年度计数</x:v>
      </x:c>
      <x:c r="G17" s="47" t="str"/>
      <x:c r="H17" s="47" t="str"/>
      <x:c r="I17" s="47" t="str"/>
      <x:c r="J17" s="47" t="str"/>
    </x:row>
    <x:row r="18" ht="15" hidden="0" customHeight="1">
      <x:c r="A18" s="47" t="str">
        <x:v>年平均转化数</x:v>
      </x:c>
      <x:c r="B18" s="67" t="n">
        <x:f>B17/3</x:f>
        <x:v>0</x:v>
      </x:c>
      <x:c r="C18" s="47" t="str">
        <x:v>用于成果转化评分档</x:v>
      </x:c>
      <x:c r="D18" s="47" t="str"/>
      <x:c r="E18" s="67" t="n">
        <x:f>E17/3</x:f>
        <x:v>0</x:v>
      </x:c>
      <x:c r="F18" s="47" t="str">
        <x:v>用于成果转化评分档</x:v>
      </x:c>
      <x:c r="G18" s="47" t="str"/>
      <x:c r="H18" s="47" t="str"/>
      <x:c r="I18" s="47" t="str"/>
      <x:c r="J18" s="47" t="str"/>
    </x:row>
  </x:sheetData>
  <x:mergeCells>
    <x:mergeCell ref="A1:J1"/>
    <x:mergeCell ref="A2:J2"/>
    <x:mergeCell ref="B13:H13"/>
    <x:mergeCell ref="A15:J15"/>
  </x:mergeCells>
  <x:conditionalFormatting sqref="C11:G11">
    <x:cfRule type="cellIs" dxfId="4" priority="1" operator="greaterThanOrEqual">
      <x:formula>75</x:formula>
    </x:cfRule>
    <x:cfRule type="cellIs" dxfId="5" priority="2" operator="between">
      <x:formula>71</x:formula>
      <x:formula>74.999</x:formula>
    </x:cfRule>
    <x:cfRule type="cellIs" dxfId="6" priority="3" operator="lessThan">
      <x:formula>71</x:formula>
    </x:cfRule>
  </x:conditionalFormatting>
  <x:dataValidations count="1">
    <x:dataValidation type="decimal" operator="between" sqref="B5:G5">
      <x:formula1>0</x:formula1>
      <x:formula2>30</x:formula2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0" hidden="0" customWidth="1"/>
    <x:col min="3" max="3" width="26" hidden="0" customWidth="1"/>
    <x:col min="4" max="4" width="14" hidden="0" customWidth="1"/>
    <x:col min="5" max="5" width="38" hidden="0" customWidth="1"/>
    <x:col min="6" max="6" width="34" hidden="0" customWidth="1"/>
    <x:col min="7" max="7" width="12" hidden="0" customWidth="1"/>
    <x:col min="8" max="8" width="14" hidden="0" customWidth="1"/>
    <x:col min="9" max="9" width="16" hidden="0" customWidth="1"/>
    <x:col min="10" max="10" width="14" hidden="0" customWidth="1"/>
    <x:col min="11" max="11" width="28" hidden="0" customWidth="1"/>
  </x:cols>
  <x:sheetData>
    <x:row r="1" ht="34" customHeight="1">
      <x:c r="A1" s="46" t="str">
        <x:v>补强计划</x:v>
      </x:c>
      <x:c r="B1" s="46" t="str">
        <x:v>补强计划</x:v>
      </x:c>
      <x:c r="C1" s="46" t="str">
        <x:v>补强计划</x:v>
      </x:c>
      <x:c r="D1" s="46" t="str">
        <x:v>补强计划</x:v>
      </x:c>
      <x:c r="E1" s="46" t="str">
        <x:v>补强计划</x:v>
      </x:c>
      <x:c r="F1" s="46" t="str">
        <x:v>补强计划</x:v>
      </x:c>
      <x:c r="G1" s="46" t="str">
        <x:v>补强计划</x:v>
      </x:c>
      <x:c r="H1" s="46" t="str">
        <x:v>补强计划</x:v>
      </x:c>
      <x:c r="I1" s="46" t="str">
        <x:v>补强计划</x:v>
      </x:c>
      <x:c r="J1" s="46" t="str">
        <x:v>补强计划</x:v>
      </x:c>
      <x:c r="K1" s="46" t="str">
        <x:v>补强计划</x:v>
      </x:c>
    </x:row>
    <x:row r="2" ht="28" customHeight="1">
      <x:c r="A2" s="40" t="str">
        <x:v>证据补强用于整理已发生事实；事实补强必须真实执行并持续留痕，不得倒签或补造。</x:v>
      </x:c>
      <x:c r="B2" s="40" t="str">
        <x:v>证据补强用于整理已发生事实；事实补强必须真实执行并持续留痕，不得倒签或补造。</x:v>
      </x:c>
      <x:c r="C2" s="40" t="str">
        <x:v>证据补强用于整理已发生事实；事实补强必须真实执行并持续留痕，不得倒签或补造。</x:v>
      </x:c>
      <x:c r="D2" s="40" t="str">
        <x:v>证据补强用于整理已发生事实；事实补强必须真实执行并持续留痕，不得倒签或补造。</x:v>
      </x:c>
      <x:c r="E2" s="40" t="str">
        <x:v>证据补强用于整理已发生事实；事实补强必须真实执行并持续留痕，不得倒签或补造。</x:v>
      </x:c>
      <x:c r="F2" s="40" t="str">
        <x:v>证据补强用于整理已发生事实；事实补强必须真实执行并持续留痕，不得倒签或补造。</x:v>
      </x:c>
      <x:c r="G2" s="40" t="str">
        <x:v>证据补强用于整理已发生事实；事实补强必须真实执行并持续留痕，不得倒签或补造。</x:v>
      </x:c>
      <x:c r="H2" s="40" t="str">
        <x:v>证据补强用于整理已发生事实；事实补强必须真实执行并持续留痕，不得倒签或补造。</x:v>
      </x:c>
      <x:c r="I2" s="40" t="str">
        <x:v>证据补强用于整理已发生事实；事实补强必须真实执行并持续留痕，不得倒签或补造。</x:v>
      </x:c>
      <x:c r="J2" s="40" t="str">
        <x:v>证据补强用于整理已发生事实；事实补强必须真实执行并持续留痕，不得倒签或补造。</x:v>
      </x:c>
      <x:c r="K2" s="40" t="str">
        <x:v>证据补强用于整理已发生事实；事实补强必须真实执行并持续留痕，不得倒签或补造。</x:v>
      </x:c>
    </x:row>
    <x:row r="3">
      <x:c r="A3" s="47"/>
      <x:c r="B3" s="47"/>
      <x:c r="C3" s="47"/>
      <x:c r="D3" s="47"/>
      <x:c r="E3" s="47"/>
      <x:c r="F3" s="47"/>
      <x:c r="G3" s="47"/>
      <x:c r="H3" s="47"/>
      <x:c r="I3" s="47"/>
      <x:c r="J3" s="47"/>
      <x:c r="K3" s="47"/>
    </x:row>
    <x:row r="4">
      <x:c r="A4" s="48" t="str">
        <x:v>优先级</x:v>
      </x:c>
      <x:c r="B4" s="48" t="str">
        <x:v>缺口</x:v>
      </x:c>
      <x:c r="C4" s="48" t="str">
        <x:v>当前影响</x:v>
      </x:c>
      <x:c r="D4" s="48" t="str">
        <x:v>补强性质</x:v>
      </x:c>
      <x:c r="E4" s="48" t="str">
        <x:v>具体动作</x:v>
      </x:c>
      <x:c r="F4" s="48" t="str">
        <x:v>证据产物</x:v>
      </x:c>
      <x:c r="G4" s="48" t="str">
        <x:v>预计增分</x:v>
      </x:c>
      <x:c r="H4" s="48" t="str">
        <x:v>截止时间</x:v>
      </x:c>
      <x:c r="I4" s="48" t="str">
        <x:v>责任岗位</x:v>
      </x:c>
      <x:c r="J4" s="48" t="str">
        <x:v>完成状态</x:v>
      </x:c>
      <x:c r="K4" s="48" t="str">
        <x:v>复核结果</x:v>
      </x:c>
    </x:row>
    <x:row r="5">
      <x:c r="A5" s="50" t="str">
        <x:v>中</x:v>
      </x:c>
      <x:c r="B5" s="50" t="str"/>
      <x:c r="C5" s="50" t="str"/>
      <x:c r="D5" s="50" t="str">
        <x:v>待核</x:v>
      </x:c>
      <x:c r="E5" s="50" t="str"/>
      <x:c r="F5" s="50" t="str"/>
      <x:c r="G5" s="50" t="str"/>
      <x:c r="H5" s="55"/>
      <x:c r="I5" s="50" t="str"/>
      <x:c r="J5" s="50" t="str">
        <x:v>未开始</x:v>
      </x:c>
      <x:c r="K5" s="50" t="str"/>
    </x:row>
    <x:row r="6">
      <x:c r="A6" s="50" t="str">
        <x:v>中</x:v>
      </x:c>
      <x:c r="B6" s="50" t="str"/>
      <x:c r="C6" s="50" t="str"/>
      <x:c r="D6" s="50" t="str">
        <x:v>待核</x:v>
      </x:c>
      <x:c r="E6" s="50" t="str"/>
      <x:c r="F6" s="50" t="str"/>
      <x:c r="G6" s="50" t="str"/>
      <x:c r="H6" s="55"/>
      <x:c r="I6" s="50" t="str"/>
      <x:c r="J6" s="50" t="str">
        <x:v>未开始</x:v>
      </x:c>
      <x:c r="K6" s="50" t="str"/>
    </x:row>
    <x:row r="7">
      <x:c r="A7" s="50" t="str">
        <x:v>中</x:v>
      </x:c>
      <x:c r="B7" s="50" t="str"/>
      <x:c r="C7" s="50" t="str"/>
      <x:c r="D7" s="50" t="str">
        <x:v>待核</x:v>
      </x:c>
      <x:c r="E7" s="50" t="str"/>
      <x:c r="F7" s="50" t="str"/>
      <x:c r="G7" s="50" t="str"/>
      <x:c r="H7" s="55"/>
      <x:c r="I7" s="50" t="str"/>
      <x:c r="J7" s="50" t="str">
        <x:v>未开始</x:v>
      </x:c>
      <x:c r="K7" s="50" t="str"/>
    </x:row>
    <x:row r="8">
      <x:c r="A8" s="50" t="str">
        <x:v>中</x:v>
      </x:c>
      <x:c r="B8" s="50" t="str"/>
      <x:c r="C8" s="50" t="str"/>
      <x:c r="D8" s="50" t="str">
        <x:v>待核</x:v>
      </x:c>
      <x:c r="E8" s="50" t="str"/>
      <x:c r="F8" s="50" t="str"/>
      <x:c r="G8" s="50" t="str"/>
      <x:c r="H8" s="55"/>
      <x:c r="I8" s="50" t="str"/>
      <x:c r="J8" s="50" t="str">
        <x:v>未开始</x:v>
      </x:c>
      <x:c r="K8" s="50" t="str"/>
    </x:row>
    <x:row r="9">
      <x:c r="A9" s="50" t="str">
        <x:v>中</x:v>
      </x:c>
      <x:c r="B9" s="50" t="str"/>
      <x:c r="C9" s="50" t="str"/>
      <x:c r="D9" s="50" t="str">
        <x:v>待核</x:v>
      </x:c>
      <x:c r="E9" s="50" t="str"/>
      <x:c r="F9" s="50" t="str"/>
      <x:c r="G9" s="50" t="str"/>
      <x:c r="H9" s="55"/>
      <x:c r="I9" s="50" t="str"/>
      <x:c r="J9" s="50" t="str">
        <x:v>未开始</x:v>
      </x:c>
      <x:c r="K9" s="50" t="str"/>
    </x:row>
    <x:row r="10">
      <x:c r="A10" s="50" t="str">
        <x:v>中</x:v>
      </x:c>
      <x:c r="B10" s="50" t="str"/>
      <x:c r="C10" s="50" t="str"/>
      <x:c r="D10" s="50" t="str">
        <x:v>待核</x:v>
      </x:c>
      <x:c r="E10" s="50" t="str"/>
      <x:c r="F10" s="50" t="str"/>
      <x:c r="G10" s="50" t="str"/>
      <x:c r="H10" s="55"/>
      <x:c r="I10" s="50" t="str"/>
      <x:c r="J10" s="50" t="str">
        <x:v>未开始</x:v>
      </x:c>
      <x:c r="K10" s="50" t="str"/>
    </x:row>
    <x:row r="11">
      <x:c r="A11" s="50" t="str">
        <x:v>中</x:v>
      </x:c>
      <x:c r="B11" s="50" t="str"/>
      <x:c r="C11" s="50" t="str"/>
      <x:c r="D11" s="50" t="str">
        <x:v>待核</x:v>
      </x:c>
      <x:c r="E11" s="50" t="str"/>
      <x:c r="F11" s="50" t="str"/>
      <x:c r="G11" s="50" t="str"/>
      <x:c r="H11" s="55"/>
      <x:c r="I11" s="50" t="str"/>
      <x:c r="J11" s="50" t="str">
        <x:v>未开始</x:v>
      </x:c>
      <x:c r="K11" s="50" t="str"/>
    </x:row>
    <x:row r="12">
      <x:c r="A12" s="50" t="str">
        <x:v>中</x:v>
      </x:c>
      <x:c r="B12" s="50" t="str"/>
      <x:c r="C12" s="50" t="str"/>
      <x:c r="D12" s="50" t="str">
        <x:v>待核</x:v>
      </x:c>
      <x:c r="E12" s="50" t="str"/>
      <x:c r="F12" s="50" t="str"/>
      <x:c r="G12" s="50" t="str"/>
      <x:c r="H12" s="55"/>
      <x:c r="I12" s="50" t="str"/>
      <x:c r="J12" s="50" t="str">
        <x:v>未开始</x:v>
      </x:c>
      <x:c r="K12" s="50" t="str"/>
    </x:row>
    <x:row r="13">
      <x:c r="A13" s="50" t="str">
        <x:v>中</x:v>
      </x:c>
      <x:c r="B13" s="50" t="str"/>
      <x:c r="C13" s="50" t="str"/>
      <x:c r="D13" s="50" t="str">
        <x:v>待核</x:v>
      </x:c>
      <x:c r="E13" s="50" t="str"/>
      <x:c r="F13" s="50" t="str"/>
      <x:c r="G13" s="50" t="str"/>
      <x:c r="H13" s="55"/>
      <x:c r="I13" s="50" t="str"/>
      <x:c r="J13" s="50" t="str">
        <x:v>未开始</x:v>
      </x:c>
      <x:c r="K13" s="50" t="str"/>
    </x:row>
    <x:row r="14">
      <x:c r="A14" s="50" t="str">
        <x:v>中</x:v>
      </x:c>
      <x:c r="B14" s="50" t="str"/>
      <x:c r="C14" s="50" t="str"/>
      <x:c r="D14" s="50" t="str">
        <x:v>待核</x:v>
      </x:c>
      <x:c r="E14" s="50" t="str"/>
      <x:c r="F14" s="50" t="str"/>
      <x:c r="G14" s="50" t="str"/>
      <x:c r="H14" s="55"/>
      <x:c r="I14" s="50" t="str"/>
      <x:c r="J14" s="50" t="str">
        <x:v>未开始</x:v>
      </x:c>
      <x:c r="K14" s="50" t="str"/>
    </x:row>
    <x:row r="15">
      <x:c r="A15" s="50" t="str">
        <x:v>中</x:v>
      </x:c>
      <x:c r="B15" s="50" t="str"/>
      <x:c r="C15" s="50" t="str"/>
      <x:c r="D15" s="50" t="str">
        <x:v>待核</x:v>
      </x:c>
      <x:c r="E15" s="50" t="str"/>
      <x:c r="F15" s="50" t="str"/>
      <x:c r="G15" s="50" t="str"/>
      <x:c r="H15" s="55"/>
      <x:c r="I15" s="50" t="str"/>
      <x:c r="J15" s="50" t="str">
        <x:v>未开始</x:v>
      </x:c>
      <x:c r="K15" s="50" t="str"/>
    </x:row>
    <x:row r="16">
      <x:c r="A16" s="50" t="str">
        <x:v>中</x:v>
      </x:c>
      <x:c r="B16" s="50" t="str"/>
      <x:c r="C16" s="50" t="str"/>
      <x:c r="D16" s="50" t="str">
        <x:v>待核</x:v>
      </x:c>
      <x:c r="E16" s="50" t="str"/>
      <x:c r="F16" s="50" t="str"/>
      <x:c r="G16" s="50" t="str"/>
      <x:c r="H16" s="55"/>
      <x:c r="I16" s="50" t="str"/>
      <x:c r="J16" s="50" t="str">
        <x:v>未开始</x:v>
      </x:c>
      <x:c r="K16" s="50" t="str"/>
    </x:row>
    <x:row r="17">
      <x:c r="A17" s="50" t="str">
        <x:v>中</x:v>
      </x:c>
      <x:c r="B17" s="50" t="str"/>
      <x:c r="C17" s="50" t="str"/>
      <x:c r="D17" s="50" t="str">
        <x:v>待核</x:v>
      </x:c>
      <x:c r="E17" s="50" t="str"/>
      <x:c r="F17" s="50" t="str"/>
      <x:c r="G17" s="50" t="str"/>
      <x:c r="H17" s="55"/>
      <x:c r="I17" s="50" t="str"/>
      <x:c r="J17" s="50" t="str">
        <x:v>未开始</x:v>
      </x:c>
      <x:c r="K17" s="50" t="str"/>
    </x:row>
    <x:row r="18">
      <x:c r="A18" s="50" t="str">
        <x:v>中</x:v>
      </x:c>
      <x:c r="B18" s="50" t="str"/>
      <x:c r="C18" s="50" t="str"/>
      <x:c r="D18" s="50" t="str">
        <x:v>待核</x:v>
      </x:c>
      <x:c r="E18" s="50" t="str"/>
      <x:c r="F18" s="50" t="str"/>
      <x:c r="G18" s="50" t="str"/>
      <x:c r="H18" s="55"/>
      <x:c r="I18" s="50" t="str"/>
      <x:c r="J18" s="50" t="str">
        <x:v>未开始</x:v>
      </x:c>
      <x:c r="K18" s="50" t="str"/>
    </x:row>
    <x:row r="19">
      <x:c r="A19" s="50" t="str">
        <x:v>中</x:v>
      </x:c>
      <x:c r="B19" s="50" t="str"/>
      <x:c r="C19" s="50" t="str"/>
      <x:c r="D19" s="50" t="str">
        <x:v>待核</x:v>
      </x:c>
      <x:c r="E19" s="50" t="str"/>
      <x:c r="F19" s="50" t="str"/>
      <x:c r="G19" s="50" t="str"/>
      <x:c r="H19" s="55"/>
      <x:c r="I19" s="50" t="str"/>
      <x:c r="J19" s="50" t="str">
        <x:v>未开始</x:v>
      </x:c>
      <x:c r="K19" s="50" t="str"/>
    </x:row>
    <x:row r="20">
      <x:c r="A20" s="50" t="str">
        <x:v>中</x:v>
      </x:c>
      <x:c r="B20" s="50" t="str"/>
      <x:c r="C20" s="50" t="str"/>
      <x:c r="D20" s="50" t="str">
        <x:v>待核</x:v>
      </x:c>
      <x:c r="E20" s="50" t="str"/>
      <x:c r="F20" s="50" t="str"/>
      <x:c r="G20" s="50" t="str"/>
      <x:c r="H20" s="55"/>
      <x:c r="I20" s="50" t="str"/>
      <x:c r="J20" s="50" t="str">
        <x:v>未开始</x:v>
      </x:c>
      <x:c r="K20" s="50" t="str"/>
    </x:row>
    <x:row r="21">
      <x:c r="A21" s="50" t="str">
        <x:v>中</x:v>
      </x:c>
      <x:c r="B21" s="50" t="str"/>
      <x:c r="C21" s="50" t="str"/>
      <x:c r="D21" s="50" t="str">
        <x:v>待核</x:v>
      </x:c>
      <x:c r="E21" s="50" t="str"/>
      <x:c r="F21" s="50" t="str"/>
      <x:c r="G21" s="50" t="str"/>
      <x:c r="H21" s="55"/>
      <x:c r="I21" s="50" t="str"/>
      <x:c r="J21" s="50" t="str">
        <x:v>未开始</x:v>
      </x:c>
      <x:c r="K21" s="50" t="str"/>
    </x:row>
    <x:row r="22">
      <x:c r="A22" s="50" t="str">
        <x:v>中</x:v>
      </x:c>
      <x:c r="B22" s="50" t="str"/>
      <x:c r="C22" s="50" t="str"/>
      <x:c r="D22" s="50" t="str">
        <x:v>待核</x:v>
      </x:c>
      <x:c r="E22" s="50" t="str"/>
      <x:c r="F22" s="50" t="str"/>
      <x:c r="G22" s="50" t="str"/>
      <x:c r="H22" s="55"/>
      <x:c r="I22" s="50" t="str"/>
      <x:c r="J22" s="50" t="str">
        <x:v>未开始</x:v>
      </x:c>
      <x:c r="K22" s="50" t="str"/>
    </x:row>
    <x:row r="23">
      <x:c r="A23" s="50" t="str">
        <x:v>中</x:v>
      </x:c>
      <x:c r="B23" s="50" t="str"/>
      <x:c r="C23" s="50" t="str"/>
      <x:c r="D23" s="50" t="str">
        <x:v>待核</x:v>
      </x:c>
      <x:c r="E23" s="50" t="str"/>
      <x:c r="F23" s="50" t="str"/>
      <x:c r="G23" s="50" t="str"/>
      <x:c r="H23" s="55"/>
      <x:c r="I23" s="50" t="str"/>
      <x:c r="J23" s="50" t="str">
        <x:v>未开始</x:v>
      </x:c>
      <x:c r="K23" s="50" t="str"/>
    </x:row>
    <x:row r="24">
      <x:c r="A24" s="50" t="str">
        <x:v>中</x:v>
      </x:c>
      <x:c r="B24" s="50" t="str"/>
      <x:c r="C24" s="50" t="str"/>
      <x:c r="D24" s="50" t="str">
        <x:v>待核</x:v>
      </x:c>
      <x:c r="E24" s="50" t="str"/>
      <x:c r="F24" s="50" t="str"/>
      <x:c r="G24" s="50" t="str"/>
      <x:c r="H24" s="55"/>
      <x:c r="I24" s="50" t="str"/>
      <x:c r="J24" s="50" t="str">
        <x:v>未开始</x:v>
      </x:c>
      <x:c r="K24" s="50" t="str"/>
    </x:row>
    <x:row r="25">
      <x:c r="A25" s="50" t="str">
        <x:v>中</x:v>
      </x:c>
      <x:c r="B25" s="50" t="str"/>
      <x:c r="C25" s="50" t="str"/>
      <x:c r="D25" s="50" t="str">
        <x:v>待核</x:v>
      </x:c>
      <x:c r="E25" s="50" t="str"/>
      <x:c r="F25" s="50" t="str"/>
      <x:c r="G25" s="50" t="str"/>
      <x:c r="H25" s="55"/>
      <x:c r="I25" s="50" t="str"/>
      <x:c r="J25" s="50" t="str">
        <x:v>未开始</x:v>
      </x:c>
      <x:c r="K25" s="50" t="str"/>
    </x:row>
    <x:row r="26">
      <x:c r="A26" s="50" t="str">
        <x:v>中</x:v>
      </x:c>
      <x:c r="B26" s="50" t="str"/>
      <x:c r="C26" s="50" t="str"/>
      <x:c r="D26" s="50" t="str">
        <x:v>待核</x:v>
      </x:c>
      <x:c r="E26" s="50" t="str"/>
      <x:c r="F26" s="50" t="str"/>
      <x:c r="G26" s="50" t="str"/>
      <x:c r="H26" s="55"/>
      <x:c r="I26" s="50" t="str"/>
      <x:c r="J26" s="50" t="str">
        <x:v>未开始</x:v>
      </x:c>
      <x:c r="K26" s="50" t="str"/>
    </x:row>
    <x:row r="27">
      <x:c r="A27" s="50" t="str">
        <x:v>中</x:v>
      </x:c>
      <x:c r="B27" s="50" t="str"/>
      <x:c r="C27" s="50" t="str"/>
      <x:c r="D27" s="50" t="str">
        <x:v>待核</x:v>
      </x:c>
      <x:c r="E27" s="50" t="str"/>
      <x:c r="F27" s="50" t="str"/>
      <x:c r="G27" s="50" t="str"/>
      <x:c r="H27" s="55"/>
      <x:c r="I27" s="50" t="str"/>
      <x:c r="J27" s="50" t="str">
        <x:v>未开始</x:v>
      </x:c>
      <x:c r="K27" s="50" t="str"/>
    </x:row>
    <x:row r="28">
      <x:c r="A28" s="50" t="str">
        <x:v>中</x:v>
      </x:c>
      <x:c r="B28" s="50" t="str"/>
      <x:c r="C28" s="50" t="str"/>
      <x:c r="D28" s="50" t="str">
        <x:v>待核</x:v>
      </x:c>
      <x:c r="E28" s="50" t="str"/>
      <x:c r="F28" s="50" t="str"/>
      <x:c r="G28" s="50" t="str"/>
      <x:c r="H28" s="55"/>
      <x:c r="I28" s="50" t="str"/>
      <x:c r="J28" s="50" t="str">
        <x:v>未开始</x:v>
      </x:c>
      <x:c r="K28" s="50" t="str"/>
    </x:row>
    <x:row r="29">
      <x:c r="A29" s="50" t="str">
        <x:v>中</x:v>
      </x:c>
      <x:c r="B29" s="50" t="str"/>
      <x:c r="C29" s="50" t="str"/>
      <x:c r="D29" s="50" t="str">
        <x:v>待核</x:v>
      </x:c>
      <x:c r="E29" s="50" t="str"/>
      <x:c r="F29" s="50" t="str"/>
      <x:c r="G29" s="50" t="str"/>
      <x:c r="H29" s="55"/>
      <x:c r="I29" s="50" t="str"/>
      <x:c r="J29" s="50" t="str">
        <x:v>未开始</x:v>
      </x:c>
      <x:c r="K29" s="50" t="str"/>
    </x:row>
    <x:row r="30">
      <x:c r="A30" s="50" t="str">
        <x:v>中</x:v>
      </x:c>
      <x:c r="B30" s="50" t="str"/>
      <x:c r="C30" s="50" t="str"/>
      <x:c r="D30" s="50" t="str">
        <x:v>待核</x:v>
      </x:c>
      <x:c r="E30" s="50" t="str"/>
      <x:c r="F30" s="50" t="str"/>
      <x:c r="G30" s="50" t="str"/>
      <x:c r="H30" s="55"/>
      <x:c r="I30" s="50" t="str"/>
      <x:c r="J30" s="50" t="str">
        <x:v>未开始</x:v>
      </x:c>
      <x:c r="K30" s="50" t="str"/>
    </x:row>
    <x:row r="31">
      <x:c r="A31" s="50" t="str">
        <x:v>中</x:v>
      </x:c>
      <x:c r="B31" s="50" t="str"/>
      <x:c r="C31" s="50" t="str"/>
      <x:c r="D31" s="50" t="str">
        <x:v>待核</x:v>
      </x:c>
      <x:c r="E31" s="50" t="str"/>
      <x:c r="F31" s="50" t="str"/>
      <x:c r="G31" s="50" t="str"/>
      <x:c r="H31" s="55"/>
      <x:c r="I31" s="50" t="str"/>
      <x:c r="J31" s="50" t="str">
        <x:v>未开始</x:v>
      </x:c>
      <x:c r="K31" s="50" t="str"/>
    </x:row>
    <x:row r="32">
      <x:c r="A32" s="50" t="str">
        <x:v>中</x:v>
      </x:c>
      <x:c r="B32" s="50" t="str"/>
      <x:c r="C32" s="50" t="str"/>
      <x:c r="D32" s="50" t="str">
        <x:v>待核</x:v>
      </x:c>
      <x:c r="E32" s="50" t="str"/>
      <x:c r="F32" s="50" t="str"/>
      <x:c r="G32" s="50" t="str"/>
      <x:c r="H32" s="55"/>
      <x:c r="I32" s="50" t="str"/>
      <x:c r="J32" s="50" t="str">
        <x:v>未开始</x:v>
      </x:c>
      <x:c r="K32" s="50" t="str"/>
    </x:row>
    <x:row r="33">
      <x:c r="A33" s="50" t="str">
        <x:v>中</x:v>
      </x:c>
      <x:c r="B33" s="50" t="str"/>
      <x:c r="C33" s="50" t="str"/>
      <x:c r="D33" s="50" t="str">
        <x:v>待核</x:v>
      </x:c>
      <x:c r="E33" s="50" t="str"/>
      <x:c r="F33" s="50" t="str"/>
      <x:c r="G33" s="50" t="str"/>
      <x:c r="H33" s="55"/>
      <x:c r="I33" s="50" t="str"/>
      <x:c r="J33" s="50" t="str">
        <x:v>未开始</x:v>
      </x:c>
      <x:c r="K33" s="50" t="str"/>
    </x:row>
    <x:row r="34">
      <x:c r="A34" s="50" t="str">
        <x:v>中</x:v>
      </x:c>
      <x:c r="B34" s="50" t="str"/>
      <x:c r="C34" s="50" t="str"/>
      <x:c r="D34" s="50" t="str">
        <x:v>待核</x:v>
      </x:c>
      <x:c r="E34" s="50" t="str"/>
      <x:c r="F34" s="50" t="str"/>
      <x:c r="G34" s="50" t="str"/>
      <x:c r="H34" s="55"/>
      <x:c r="I34" s="50" t="str"/>
      <x:c r="J34" s="50" t="str">
        <x:v>未开始</x:v>
      </x:c>
      <x:c r="K34" s="50" t="str"/>
    </x:row>
    <x:row r="35">
      <x:c r="A35" s="50" t="str">
        <x:v>中</x:v>
      </x:c>
      <x:c r="B35" s="50" t="str"/>
      <x:c r="C35" s="50" t="str"/>
      <x:c r="D35" s="50" t="str">
        <x:v>待核</x:v>
      </x:c>
      <x:c r="E35" s="50" t="str"/>
      <x:c r="F35" s="50" t="str"/>
      <x:c r="G35" s="50" t="str"/>
      <x:c r="H35" s="55"/>
      <x:c r="I35" s="50" t="str"/>
      <x:c r="J35" s="50" t="str">
        <x:v>未开始</x:v>
      </x:c>
      <x:c r="K35" s="50" t="str"/>
    </x:row>
    <x:row r="36">
      <x:c r="A36" s="50" t="str">
        <x:v>中</x:v>
      </x:c>
      <x:c r="B36" s="50" t="str"/>
      <x:c r="C36" s="50" t="str"/>
      <x:c r="D36" s="50" t="str">
        <x:v>待核</x:v>
      </x:c>
      <x:c r="E36" s="50" t="str"/>
      <x:c r="F36" s="50" t="str"/>
      <x:c r="G36" s="50" t="str"/>
      <x:c r="H36" s="55"/>
      <x:c r="I36" s="50" t="str"/>
      <x:c r="J36" s="50" t="str">
        <x:v>未开始</x:v>
      </x:c>
      <x:c r="K36" s="50" t="str"/>
    </x:row>
    <x:row r="37">
      <x:c r="A37" s="50" t="str">
        <x:v>中</x:v>
      </x:c>
      <x:c r="B37" s="50" t="str"/>
      <x:c r="C37" s="50" t="str"/>
      <x:c r="D37" s="50" t="str">
        <x:v>待核</x:v>
      </x:c>
      <x:c r="E37" s="50" t="str"/>
      <x:c r="F37" s="50" t="str"/>
      <x:c r="G37" s="50" t="str"/>
      <x:c r="H37" s="55"/>
      <x:c r="I37" s="50" t="str"/>
      <x:c r="J37" s="50" t="str">
        <x:v>未开始</x:v>
      </x:c>
      <x:c r="K37" s="50" t="str"/>
    </x:row>
    <x:row r="38">
      <x:c r="A38" s="50" t="str">
        <x:v>中</x:v>
      </x:c>
      <x:c r="B38" s="50" t="str"/>
      <x:c r="C38" s="50" t="str"/>
      <x:c r="D38" s="50" t="str">
        <x:v>待核</x:v>
      </x:c>
      <x:c r="E38" s="50" t="str"/>
      <x:c r="F38" s="50" t="str"/>
      <x:c r="G38" s="50" t="str"/>
      <x:c r="H38" s="55"/>
      <x:c r="I38" s="50" t="str"/>
      <x:c r="J38" s="50" t="str">
        <x:v>未开始</x:v>
      </x:c>
      <x:c r="K38" s="50" t="str"/>
    </x:row>
    <x:row r="39">
      <x:c r="A39" s="50" t="str">
        <x:v>中</x:v>
      </x:c>
      <x:c r="B39" s="50" t="str"/>
      <x:c r="C39" s="50" t="str"/>
      <x:c r="D39" s="50" t="str">
        <x:v>待核</x:v>
      </x:c>
      <x:c r="E39" s="50" t="str"/>
      <x:c r="F39" s="50" t="str"/>
      <x:c r="G39" s="50" t="str"/>
      <x:c r="H39" s="55"/>
      <x:c r="I39" s="50" t="str"/>
      <x:c r="J39" s="50" t="str">
        <x:v>未开始</x:v>
      </x:c>
      <x:c r="K39" s="50" t="str"/>
    </x:row>
    <x:row r="40">
      <x:c r="A40" s="50" t="str">
        <x:v>中</x:v>
      </x:c>
      <x:c r="B40" s="50" t="str"/>
      <x:c r="C40" s="50" t="str"/>
      <x:c r="D40" s="50" t="str">
        <x:v>待核</x:v>
      </x:c>
      <x:c r="E40" s="50" t="str"/>
      <x:c r="F40" s="50" t="str"/>
      <x:c r="G40" s="50" t="str"/>
      <x:c r="H40" s="55"/>
      <x:c r="I40" s="50" t="str"/>
      <x:c r="J40" s="50" t="str">
        <x:v>未开始</x:v>
      </x:c>
      <x:c r="K40" s="50" t="str"/>
    </x:row>
    <x:row r="41">
      <x:c r="A41" s="50" t="str">
        <x:v>中</x:v>
      </x:c>
      <x:c r="B41" s="50" t="str"/>
      <x:c r="C41" s="50" t="str"/>
      <x:c r="D41" s="50" t="str">
        <x:v>待核</x:v>
      </x:c>
      <x:c r="E41" s="50" t="str"/>
      <x:c r="F41" s="50" t="str"/>
      <x:c r="G41" s="50" t="str"/>
      <x:c r="H41" s="55"/>
      <x:c r="I41" s="50" t="str"/>
      <x:c r="J41" s="50" t="str">
        <x:v>未开始</x:v>
      </x:c>
      <x:c r="K41" s="50" t="str"/>
    </x:row>
    <x:row r="42">
      <x:c r="A42" s="50" t="str">
        <x:v>中</x:v>
      </x:c>
      <x:c r="B42" s="50" t="str"/>
      <x:c r="C42" s="50" t="str"/>
      <x:c r="D42" s="50" t="str">
        <x:v>待核</x:v>
      </x:c>
      <x:c r="E42" s="50" t="str"/>
      <x:c r="F42" s="50" t="str"/>
      <x:c r="G42" s="50" t="str"/>
      <x:c r="H42" s="55"/>
      <x:c r="I42" s="50" t="str"/>
      <x:c r="J42" s="50" t="str">
        <x:v>未开始</x:v>
      </x:c>
      <x:c r="K42" s="50" t="str"/>
    </x:row>
    <x:row r="43">
      <x:c r="A43" s="50" t="str">
        <x:v>中</x:v>
      </x:c>
      <x:c r="B43" s="50" t="str"/>
      <x:c r="C43" s="50" t="str"/>
      <x:c r="D43" s="50" t="str">
        <x:v>待核</x:v>
      </x:c>
      <x:c r="E43" s="50" t="str"/>
      <x:c r="F43" s="50" t="str"/>
      <x:c r="G43" s="50" t="str"/>
      <x:c r="H43" s="55"/>
      <x:c r="I43" s="50" t="str"/>
      <x:c r="J43" s="50" t="str">
        <x:v>未开始</x:v>
      </x:c>
      <x:c r="K43" s="50" t="str"/>
    </x:row>
    <x:row r="44">
      <x:c r="A44" s="50" t="str">
        <x:v>中</x:v>
      </x:c>
      <x:c r="B44" s="50" t="str"/>
      <x:c r="C44" s="50" t="str"/>
      <x:c r="D44" s="50" t="str">
        <x:v>待核</x:v>
      </x:c>
      <x:c r="E44" s="50" t="str"/>
      <x:c r="F44" s="50" t="str"/>
      <x:c r="G44" s="50" t="str"/>
      <x:c r="H44" s="55"/>
      <x:c r="I44" s="50" t="str"/>
      <x:c r="J44" s="50" t="str">
        <x:v>未开始</x:v>
      </x:c>
      <x:c r="K44" s="50" t="str"/>
    </x:row>
    <x:row r="45">
      <x:c r="A45" s="50" t="str">
        <x:v>中</x:v>
      </x:c>
      <x:c r="B45" s="50" t="str"/>
      <x:c r="C45" s="50" t="str"/>
      <x:c r="D45" s="50" t="str">
        <x:v>待核</x:v>
      </x:c>
      <x:c r="E45" s="50" t="str"/>
      <x:c r="F45" s="50" t="str"/>
      <x:c r="G45" s="50" t="str"/>
      <x:c r="H45" s="55"/>
      <x:c r="I45" s="50" t="str"/>
      <x:c r="J45" s="50" t="str">
        <x:v>未开始</x:v>
      </x:c>
      <x:c r="K45" s="50" t="str"/>
    </x:row>
    <x:row r="46">
      <x:c r="A46" s="50" t="str">
        <x:v>中</x:v>
      </x:c>
      <x:c r="B46" s="50" t="str"/>
      <x:c r="C46" s="50" t="str"/>
      <x:c r="D46" s="50" t="str">
        <x:v>待核</x:v>
      </x:c>
      <x:c r="E46" s="50" t="str"/>
      <x:c r="F46" s="50" t="str"/>
      <x:c r="G46" s="50" t="str"/>
      <x:c r="H46" s="55"/>
      <x:c r="I46" s="50" t="str"/>
      <x:c r="J46" s="50" t="str">
        <x:v>未开始</x:v>
      </x:c>
      <x:c r="K46" s="50" t="str"/>
    </x:row>
    <x:row r="47">
      <x:c r="A47" s="50" t="str">
        <x:v>中</x:v>
      </x:c>
      <x:c r="B47" s="50" t="str"/>
      <x:c r="C47" s="50" t="str"/>
      <x:c r="D47" s="50" t="str">
        <x:v>待核</x:v>
      </x:c>
      <x:c r="E47" s="50" t="str"/>
      <x:c r="F47" s="50" t="str"/>
      <x:c r="G47" s="50" t="str"/>
      <x:c r="H47" s="55"/>
      <x:c r="I47" s="50" t="str"/>
      <x:c r="J47" s="50" t="str">
        <x:v>未开始</x:v>
      </x:c>
      <x:c r="K47" s="50" t="str"/>
    </x:row>
    <x:row r="48">
      <x:c r="A48" s="50" t="str">
        <x:v>中</x:v>
      </x:c>
      <x:c r="B48" s="50" t="str"/>
      <x:c r="C48" s="50" t="str"/>
      <x:c r="D48" s="50" t="str">
        <x:v>待核</x:v>
      </x:c>
      <x:c r="E48" s="50" t="str"/>
      <x:c r="F48" s="50" t="str"/>
      <x:c r="G48" s="50" t="str"/>
      <x:c r="H48" s="55"/>
      <x:c r="I48" s="50" t="str"/>
      <x:c r="J48" s="50" t="str">
        <x:v>未开始</x:v>
      </x:c>
      <x:c r="K48" s="50" t="str"/>
    </x:row>
    <x:row r="49">
      <x:c r="A49" s="50" t="str">
        <x:v>中</x:v>
      </x:c>
      <x:c r="B49" s="50" t="str"/>
      <x:c r="C49" s="50" t="str"/>
      <x:c r="D49" s="50" t="str">
        <x:v>待核</x:v>
      </x:c>
      <x:c r="E49" s="50" t="str"/>
      <x:c r="F49" s="50" t="str"/>
      <x:c r="G49" s="50" t="str"/>
      <x:c r="H49" s="55"/>
      <x:c r="I49" s="50" t="str"/>
      <x:c r="J49" s="50" t="str">
        <x:v>未开始</x:v>
      </x:c>
      <x:c r="K49" s="50" t="str"/>
    </x:row>
    <x:row r="50">
      <x:c r="A50" s="50" t="str">
        <x:v>中</x:v>
      </x:c>
      <x:c r="B50" s="50" t="str"/>
      <x:c r="C50" s="50" t="str"/>
      <x:c r="D50" s="50" t="str">
        <x:v>待核</x:v>
      </x:c>
      <x:c r="E50" s="50" t="str"/>
      <x:c r="F50" s="50" t="str"/>
      <x:c r="G50" s="50" t="str"/>
      <x:c r="H50" s="55"/>
      <x:c r="I50" s="50" t="str"/>
      <x:c r="J50" s="50" t="str">
        <x:v>未开始</x:v>
      </x:c>
      <x:c r="K50" s="50" t="str"/>
    </x:row>
    <x:row r="51">
      <x:c r="A51" s="50" t="str">
        <x:v>中</x:v>
      </x:c>
      <x:c r="B51" s="50" t="str"/>
      <x:c r="C51" s="50" t="str"/>
      <x:c r="D51" s="50" t="str">
        <x:v>待核</x:v>
      </x:c>
      <x:c r="E51" s="50" t="str"/>
      <x:c r="F51" s="50" t="str"/>
      <x:c r="G51" s="50" t="str"/>
      <x:c r="H51" s="55"/>
      <x:c r="I51" s="50" t="str"/>
      <x:c r="J51" s="50" t="str">
        <x:v>未开始</x:v>
      </x:c>
      <x:c r="K51" s="50" t="str"/>
    </x:row>
    <x:row r="52">
      <x:c r="A52" s="50" t="str">
        <x:v>中</x:v>
      </x:c>
      <x:c r="B52" s="50" t="str"/>
      <x:c r="C52" s="50" t="str"/>
      <x:c r="D52" s="50" t="str">
        <x:v>待核</x:v>
      </x:c>
      <x:c r="E52" s="50" t="str"/>
      <x:c r="F52" s="50" t="str"/>
      <x:c r="G52" s="50" t="str"/>
      <x:c r="H52" s="55"/>
      <x:c r="I52" s="50" t="str"/>
      <x:c r="J52" s="50" t="str">
        <x:v>未开始</x:v>
      </x:c>
      <x:c r="K52" s="50" t="str"/>
    </x:row>
    <x:row r="53">
      <x:c r="A53" s="50" t="str">
        <x:v>中</x:v>
      </x:c>
      <x:c r="B53" s="50" t="str"/>
      <x:c r="C53" s="50" t="str"/>
      <x:c r="D53" s="50" t="str">
        <x:v>待核</x:v>
      </x:c>
      <x:c r="E53" s="50" t="str"/>
      <x:c r="F53" s="50" t="str"/>
      <x:c r="G53" s="50" t="str"/>
      <x:c r="H53" s="55"/>
      <x:c r="I53" s="50" t="str"/>
      <x:c r="J53" s="50" t="str">
        <x:v>未开始</x:v>
      </x:c>
      <x:c r="K53" s="50" t="str"/>
    </x:row>
    <x:row r="54">
      <x:c r="A54" s="50" t="str">
        <x:v>中</x:v>
      </x:c>
      <x:c r="B54" s="50" t="str"/>
      <x:c r="C54" s="50" t="str"/>
      <x:c r="D54" s="50" t="str">
        <x:v>待核</x:v>
      </x:c>
      <x:c r="E54" s="50" t="str"/>
      <x:c r="F54" s="50" t="str"/>
      <x:c r="G54" s="50" t="str"/>
      <x:c r="H54" s="55"/>
      <x:c r="I54" s="50" t="str"/>
      <x:c r="J54" s="50" t="str">
        <x:v>未开始</x:v>
      </x:c>
      <x:c r="K54" s="50" t="str"/>
    </x:row>
    <x:row r="55">
      <x:c r="A55" s="50" t="str">
        <x:v>中</x:v>
      </x:c>
      <x:c r="B55" s="50" t="str"/>
      <x:c r="C55" s="50" t="str"/>
      <x:c r="D55" s="50" t="str">
        <x:v>待核</x:v>
      </x:c>
      <x:c r="E55" s="50" t="str"/>
      <x:c r="F55" s="50" t="str"/>
      <x:c r="G55" s="50" t="str"/>
      <x:c r="H55" s="55"/>
      <x:c r="I55" s="50" t="str"/>
      <x:c r="J55" s="50" t="str">
        <x:v>未开始</x:v>
      </x:c>
      <x:c r="K55" s="50" t="str"/>
    </x:row>
    <x:row r="56">
      <x:c r="A56" s="50" t="str">
        <x:v>中</x:v>
      </x:c>
      <x:c r="B56" s="50" t="str"/>
      <x:c r="C56" s="50" t="str"/>
      <x:c r="D56" s="50" t="str">
        <x:v>待核</x:v>
      </x:c>
      <x:c r="E56" s="50" t="str"/>
      <x:c r="F56" s="50" t="str"/>
      <x:c r="G56" s="50" t="str"/>
      <x:c r="H56" s="55"/>
      <x:c r="I56" s="50" t="str"/>
      <x:c r="J56" s="50" t="str">
        <x:v>未开始</x:v>
      </x:c>
      <x:c r="K56" s="50" t="str"/>
    </x:row>
    <x:row r="57">
      <x:c r="A57" s="50" t="str">
        <x:v>中</x:v>
      </x:c>
      <x:c r="B57" s="50" t="str"/>
      <x:c r="C57" s="50" t="str"/>
      <x:c r="D57" s="50" t="str">
        <x:v>待核</x:v>
      </x:c>
      <x:c r="E57" s="50" t="str"/>
      <x:c r="F57" s="50" t="str"/>
      <x:c r="G57" s="50" t="str"/>
      <x:c r="H57" s="55"/>
      <x:c r="I57" s="50" t="str"/>
      <x:c r="J57" s="50" t="str">
        <x:v>未开始</x:v>
      </x:c>
      <x:c r="K57" s="50" t="str"/>
    </x:row>
    <x:row r="58">
      <x:c r="A58" s="50" t="str">
        <x:v>中</x:v>
      </x:c>
      <x:c r="B58" s="50" t="str"/>
      <x:c r="C58" s="50" t="str"/>
      <x:c r="D58" s="50" t="str">
        <x:v>待核</x:v>
      </x:c>
      <x:c r="E58" s="50" t="str"/>
      <x:c r="F58" s="50" t="str"/>
      <x:c r="G58" s="50" t="str"/>
      <x:c r="H58" s="55"/>
      <x:c r="I58" s="50" t="str"/>
      <x:c r="J58" s="50" t="str">
        <x:v>未开始</x:v>
      </x:c>
      <x:c r="K58" s="50" t="str"/>
    </x:row>
    <x:row r="59">
      <x:c r="A59" s="50" t="str">
        <x:v>中</x:v>
      </x:c>
      <x:c r="B59" s="50" t="str"/>
      <x:c r="C59" s="50" t="str"/>
      <x:c r="D59" s="50" t="str">
        <x:v>待核</x:v>
      </x:c>
      <x:c r="E59" s="50" t="str"/>
      <x:c r="F59" s="50" t="str"/>
      <x:c r="G59" s="50" t="str"/>
      <x:c r="H59" s="55"/>
      <x:c r="I59" s="50" t="str"/>
      <x:c r="J59" s="50" t="str">
        <x:v>未开始</x:v>
      </x:c>
      <x:c r="K59" s="50" t="str"/>
    </x:row>
    <x:row r="60">
      <x:c r="A60" s="50" t="str">
        <x:v>中</x:v>
      </x:c>
      <x:c r="B60" s="50" t="str"/>
      <x:c r="C60" s="50" t="str"/>
      <x:c r="D60" s="50" t="str">
        <x:v>待核</x:v>
      </x:c>
      <x:c r="E60" s="50" t="str"/>
      <x:c r="F60" s="50" t="str"/>
      <x:c r="G60" s="50" t="str"/>
      <x:c r="H60" s="55"/>
      <x:c r="I60" s="50" t="str"/>
      <x:c r="J60" s="50" t="str">
        <x:v>未开始</x:v>
      </x:c>
      <x:c r="K60" s="50" t="str"/>
    </x:row>
    <x:row r="61">
      <x:c r="A61" s="50" t="str">
        <x:v>中</x:v>
      </x:c>
      <x:c r="B61" s="50" t="str"/>
      <x:c r="C61" s="50" t="str"/>
      <x:c r="D61" s="50" t="str">
        <x:v>待核</x:v>
      </x:c>
      <x:c r="E61" s="50" t="str"/>
      <x:c r="F61" s="50" t="str"/>
      <x:c r="G61" s="50" t="str"/>
      <x:c r="H61" s="55"/>
      <x:c r="I61" s="50" t="str"/>
      <x:c r="J61" s="50" t="str">
        <x:v>未开始</x:v>
      </x:c>
      <x:c r="K61" s="50" t="str"/>
    </x:row>
    <x:row r="62">
      <x:c r="A62" s="50" t="str">
        <x:v>中</x:v>
      </x:c>
      <x:c r="B62" s="50" t="str"/>
      <x:c r="C62" s="50" t="str"/>
      <x:c r="D62" s="50" t="str">
        <x:v>待核</x:v>
      </x:c>
      <x:c r="E62" s="50" t="str"/>
      <x:c r="F62" s="50" t="str"/>
      <x:c r="G62" s="50" t="str"/>
      <x:c r="H62" s="55"/>
      <x:c r="I62" s="50" t="str"/>
      <x:c r="J62" s="50" t="str">
        <x:v>未开始</x:v>
      </x:c>
      <x:c r="K62" s="50" t="str"/>
    </x:row>
    <x:row r="63">
      <x:c r="A63" s="50" t="str">
        <x:v>中</x:v>
      </x:c>
      <x:c r="B63" s="50" t="str"/>
      <x:c r="C63" s="50" t="str"/>
      <x:c r="D63" s="50" t="str">
        <x:v>待核</x:v>
      </x:c>
      <x:c r="E63" s="50" t="str"/>
      <x:c r="F63" s="50" t="str"/>
      <x:c r="G63" s="50" t="str"/>
      <x:c r="H63" s="55"/>
      <x:c r="I63" s="50" t="str"/>
      <x:c r="J63" s="50" t="str">
        <x:v>未开始</x:v>
      </x:c>
      <x:c r="K63" s="50" t="str"/>
    </x:row>
    <x:row r="64">
      <x:c r="A64" s="50" t="str">
        <x:v>中</x:v>
      </x:c>
      <x:c r="B64" s="50" t="str"/>
      <x:c r="C64" s="50" t="str"/>
      <x:c r="D64" s="50" t="str">
        <x:v>待核</x:v>
      </x:c>
      <x:c r="E64" s="50" t="str"/>
      <x:c r="F64" s="50" t="str"/>
      <x:c r="G64" s="50" t="str"/>
      <x:c r="H64" s="55"/>
      <x:c r="I64" s="50" t="str"/>
      <x:c r="J64" s="50" t="str">
        <x:v>未开始</x:v>
      </x:c>
      <x:c r="K64" s="50" t="str"/>
    </x:row>
  </x:sheetData>
  <x:mergeCells>
    <x:mergeCell ref="A1:K1"/>
    <x:mergeCell ref="A2:K2"/>
  </x:mergeCells>
  <x:dataValidations count="3">
    <x:dataValidation type="list" sqref="A5:A64">
      <x:formula1>"高,中,低"</x:formula1>
    </x:dataValidation>
    <x:dataValidation type="list" sqref="D5:D64">
      <x:formula1>"证据补强,事实补强,无缺口,待核"</x:formula1>
    </x:dataValidation>
    <x:dataValidation type="list" sqref="J5:J64">
      <x:formula1>"未开始,进行中,已完成,不适用"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1d0a2d8da464016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42" hidden="0" customWidth="1"/>
    <x:col min="4" max="4" width="16" hidden="0" customWidth="1"/>
    <x:col min="5" max="5" width="58" hidden="0" customWidth="1"/>
    <x:col min="6" max="6" width="14" hidden="0" customWidth="1"/>
  </x:cols>
  <x:sheetData>
    <x:row r="1" ht="19.200000762939453" hidden="0" customHeight="1">
      <x:c r="A1" s="46" t="str">
        <x:v>规则、口径与来源</x:v>
      </x:c>
      <x:c r="B1" s="46" t="str">
        <x:v>规则、口径与来源</x:v>
      </x:c>
      <x:c r="C1" s="46" t="str">
        <x:v>规则、口径与来源</x:v>
      </x:c>
      <x:c r="D1" s="46" t="str">
        <x:v>规则、口径与来源</x:v>
      </x:c>
      <x:c r="E1" s="46" t="str">
        <x:v>规则、口径与来源</x:v>
      </x:c>
      <x:c r="F1" s="46" t="str">
        <x:v>规则、口径与来源</x:v>
      </x:c>
    </x:row>
    <x:row r="2" ht="15" hidden="0" customHeight="1">
      <x:c r="A2" s="40" t="str">
        <x:v>每次正式评估仍需核验当期国家规则、属地通知和系统要求。</x:v>
      </x:c>
      <x:c r="B2" s="40" t="str">
        <x:v>每次正式评估仍需核验当期国家规则、属地通知和系统要求。</x:v>
      </x:c>
      <x:c r="C2" s="40" t="str">
        <x:v>每次正式评估仍需核验当期国家规则、属地通知和系统要求。</x:v>
      </x:c>
      <x:c r="D2" s="40" t="str">
        <x:v>每次正式评估仍需核验当期国家规则、属地通知和系统要求。</x:v>
      </x:c>
      <x:c r="E2" s="40" t="str">
        <x:v>每次正式评估仍需核验当期国家规则、属地通知和系统要求。</x:v>
      </x:c>
      <x:c r="F2" s="40" t="str">
        <x:v>每次正式评估仍需核验当期国家规则、属地通知和系统要求。</x:v>
      </x:c>
    </x:row>
    <x:row r="3">
      <x:c r="A3" s="47"/>
      <x:c r="B3" s="47"/>
      <x:c r="C3" s="47"/>
      <x:c r="D3" s="47"/>
      <x:c r="E3" s="47"/>
      <x:c r="F3" s="47"/>
    </x:row>
    <x:row r="4" ht="26.399999618530273" hidden="0" customHeight="1">
      <x:c r="A4" s="48" t="str">
        <x:v>类别</x:v>
      </x:c>
      <x:c r="B4" s="48" t="str">
        <x:v>规则</x:v>
      </x:c>
      <x:c r="C4" s="48" t="str">
        <x:v>当前口径</x:v>
      </x:c>
      <x:c r="D4" s="48" t="str">
        <x:v>来源层级</x:v>
      </x:c>
      <x:c r="E4" s="48" t="str">
        <x:v>来源或确认人</x:v>
      </x:c>
      <x:c r="F4" s="48" t="str">
        <x:v>核验日期</x:v>
      </x:c>
    </x:row>
    <x:row r="5" ht="145.1999969482422" hidden="0" customHeight="1">
      <x:c r="A5" s="49" t="str">
        <x:v>政策</x:v>
      </x:c>
      <x:c r="B5" s="49" t="str">
        <x:v>创新能力评价</x:v>
      </x:c>
      <x:c r="C5" s="49" t="str">
        <x:v>总分100，综合得分超过70</x:v>
      </x:c>
      <x:c r="D5" s="49" t="str">
        <x:v>国家文件</x:v>
      </x:c>
      <x:c r="E5" s="49" t="str">
        <x:v>https://www.most.gov.cn/xxgk/xinxifenlei/fdzdgknr/fgzc/gfxwj/gfxwj2016/201602/t20160205_123998.html</x:v>
      </x:c>
      <x:c r="F5" s="69" t="n">
        <x:v>46227</x:v>
      </x:c>
    </x:row>
    <x:row r="6" ht="92.4000015258789" hidden="0" customHeight="1">
      <x:c r="A6" s="49" t="str">
        <x:v>政策</x:v>
      </x:c>
      <x:c r="B6" s="49" t="str">
        <x:v>工作指引</x:v>
      </x:c>
      <x:c r="C6" s="49" t="str">
        <x:v>知识产权、成果转化、组织管理和成长性评分</x:v>
      </x:c>
      <x:c r="D6" s="49" t="str">
        <x:v>国家文件</x:v>
      </x:c>
      <x:c r="E6" s="49" t="str">
        <x:v>http://heilongjiang.chinatax.gov.cn/art/2016/6/22/art_4912_153619.html</x:v>
      </x:c>
      <x:c r="F6" s="69" t="n">
        <x:v>46227</x:v>
      </x:c>
    </x:row>
    <x:row r="7" ht="52.79999923706055" hidden="0" customHeight="1">
      <x:c r="A7" s="49" t="str">
        <x:v>内部风控</x:v>
      </x:c>
      <x:c r="B7" s="49" t="str">
        <x:v>保守缓冲线</x:v>
      </x:c>
      <x:c r="C7" s="49" t="str">
        <x:v>75分为内部建议线，不是政策门槛</x:v>
      </x:c>
      <x:c r="D7" s="49" t="str">
        <x:v>内部规则</x:v>
      </x:c>
      <x:c r="E7" s="49" t="str">
        <x:v>high-tech-enterprise-preassessment</x:v>
      </x:c>
      <x:c r="F7" s="69" t="n">
        <x:v>46227</x:v>
      </x:c>
    </x:row>
    <x:row r="8" ht="79.19999694824219" hidden="0" customHeight="1">
      <x:c r="A8" s="49" t="str">
        <x:v>实务口径</x:v>
      </x:c>
      <x:c r="B8" s="49" t="str">
        <x:v>Ⅱ类曾申报未通过</x:v>
      </x:c>
      <x:c r="C8" s="49" t="str">
        <x:v>未通过不消耗使用次数，可在后续申报再次使用</x:v>
      </x:c>
      <x:c r="D8" s="49" t="str">
        <x:v>主人确认</x:v>
      </x:c>
      <x:c r="E8" s="49" t="str">
        <x:v>用户于当前任务明确确认</x:v>
      </x:c>
      <x:c r="F8" s="69" t="n">
        <x:v>46227</x:v>
      </x:c>
    </x:row>
    <x:row r="9" ht="52.79999923706055" hidden="0" customHeight="1">
      <x:c r="A9" s="49" t="str">
        <x:v>实务口径</x:v>
      </x:c>
      <x:c r="B9" s="49" t="str">
        <x:v>Ⅱ类曾在通过认定中使用</x:v>
      </x:c>
      <x:c r="C9" s="49" t="str">
        <x:v>本次不可重复使用</x:v>
      </x:c>
      <x:c r="D9" s="49" t="str">
        <x:v>工作基线</x:v>
      </x:c>
      <x:c r="E9" s="49" t="str">
        <x:v>结合工作指引与主人确认口径</x:v>
      </x:c>
      <x:c r="F9" s="69" t="n">
        <x:v>46227</x:v>
      </x:c>
    </x:row>
    <x:row r="10" ht="52.79999923706055" hidden="0" customHeight="1">
      <x:c r="A10" s="49" t="str">
        <x:v>证据规则</x:v>
      </x:c>
      <x:c r="B10" s="49" t="str">
        <x:v>未授权知识产权</x:v>
      </x:c>
      <x:c r="C10" s="49" t="str">
        <x:v>申请中不计入有效知识产权得分</x:v>
      </x:c>
      <x:c r="D10" s="49" t="str">
        <x:v>工作指引</x:v>
      </x:c>
      <x:c r="E10" s="49" t="str">
        <x:v>国家文件及属地核验</x:v>
      </x:c>
      <x:c r="F10" s="69" t="n">
        <x:v>46227</x:v>
      </x:c>
    </x:row>
    <x:row r="11" ht="52.79999923706055" hidden="0" customHeight="1">
      <x:c r="A11" s="49" t="str">
        <x:v>证据规则</x:v>
      </x:c>
      <x:c r="B11" s="49" t="str">
        <x:v>成果转化重复</x:v>
      </x:c>
      <x:c r="C11" s="49" t="str">
        <x:v>同一成果多产品或多地区不重复计数</x:v>
      </x:c>
      <x:c r="D11" s="49" t="str">
        <x:v>工作指引</x:v>
      </x:c>
      <x:c r="E11" s="49" t="str">
        <x:v>国家文件</x:v>
      </x:c>
      <x:c r="F11" s="69" t="n">
        <x:v>46227</x:v>
      </x:c>
    </x:row>
    <x:row r="12" ht="39.599998474121094" hidden="0" customHeight="1">
      <x:c r="A12" s="49" t="str">
        <x:v>证据规则</x:v>
      </x:c>
      <x:c r="B12" s="49" t="str">
        <x:v>组织管理</x:v>
      </x:c>
      <x:c r="C12" s="49" t="str">
        <x:v>制度、执行、结果三层核验</x:v>
      </x:c>
      <x:c r="D12" s="49" t="str">
        <x:v>内部预评估</x:v>
      </x:c>
      <x:c r="E12" s="49" t="str">
        <x:v>技能评分规则</x:v>
      </x:c>
      <x:c r="F12" s="69" t="n">
        <x:v>46227</x:v>
      </x:c>
    </x:row>
    <x:row r="13" ht="66" hidden="0" customHeight="1">
      <x:c r="A13" s="49" t="str">
        <x:v>真实性</x:v>
      </x:c>
      <x:c r="B13" s="49" t="str">
        <x:v>补强边界</x:v>
      </x:c>
      <x:c r="C13" s="49" t="str">
        <x:v>区分证据补强与事实补强，禁止倒签补造</x:v>
      </x:c>
      <x:c r="D13" s="49" t="str">
        <x:v>质量门禁</x:v>
      </x:c>
      <x:c r="E13" s="49" t="str">
        <x:v>焦糖工作约定</x:v>
      </x:c>
      <x:c r="F13" s="69" t="n">
        <x:v>46227</x:v>
      </x:c>
    </x:row>
    <x:row r="14" ht="66" hidden="0" customHeight="1">
      <x:c r="A14" s="49" t="str">
        <x:v>输出</x:v>
      </x:c>
      <x:c r="B14" s="49" t="str">
        <x:v>通过率</x:v>
      </x:c>
      <x:c r="C14" s="49" t="str">
        <x:v>无校准样本时只给把握等级和安全边际</x:v>
      </x:c>
      <x:c r="D14" s="49" t="str">
        <x:v>真实性规则</x:v>
      </x:c>
      <x:c r="E14" s="49" t="str">
        <x:v>技能主流程</x:v>
      </x:c>
      <x:c r="F14" s="69" t="n">
        <x:v>46227</x:v>
      </x:c>
    </x:row>
  </x:sheetData>
  <x:mergeCells>
    <x:mergeCell ref="A1:F1"/>
    <x:mergeCell ref="A2:F2"/>
  </x:mergeCells>
  <x:pageMargins left="0.7" right="0.7" top="0.75" bottom="0.75" header="0.3" footer="0.3"/>
</x:worksheet>
</file>