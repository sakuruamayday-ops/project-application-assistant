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b27de4356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ab32d65b34444a3"/>
    <x:sheet xmlns:r="http://schemas.openxmlformats.org/officeDocument/2006/relationships" name="客户数据录入" sheetId="2" r:id="Rf11b1ab24124486f"/>
    <x:sheet xmlns:r="http://schemas.openxmlformats.org/officeDocument/2006/relationships" name="硬门槛核验" sheetId="3" r:id="Rb0daeafc9f444e43"/>
    <x:sheet xmlns:r="http://schemas.openxmlformats.org/officeDocument/2006/relationships" name="评分底稿" sheetId="4" r:id="R4a904fa1dcda4b05"/>
    <x:sheet xmlns:r="http://schemas.openxmlformats.org/officeDocument/2006/relationships" name="诊断看板" sheetId="5" r:id="Ra1b3f997af3440d0"/>
    <x:sheet xmlns:r="http://schemas.openxmlformats.org/officeDocument/2006/relationships" name="提升行动" sheetId="6" r:id="R31d0bb54dad7466a"/>
    <x:sheet xmlns:r="http://schemas.openxmlformats.org/officeDocument/2006/relationships" name="规则与来源" sheetId="7" r:id="R841cd596f1fc456b"/>
    <x:sheet xmlns:r="http://schemas.openxmlformats.org/officeDocument/2006/relationships" name="统计局行业基准" sheetId="8" r:id="R4053896c71014711"/>
    <x:sheet xmlns:r="http://schemas.openxmlformats.org/officeDocument/2006/relationships" name="企查查核验证据" sheetId="9" r:id="Rc2f9f0d6fd4348d0"/>
  </x:sheets>
  <x:definedNames>
    <x:definedName name="_JIAOTANG_UNIFORM_WATERMARK_V3">"enabled"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2"/>
      <x:color rgb="FFFFFFFF"/>
      <x:name val="Carlito"/>
    </x:font>
    <x:font>
      <x:b/>
      <x:sz val="16"/>
      <x:color rgb="FF17365D"/>
      <x:name val="Carlito"/>
    </x:font>
    <x:font>
      <x:b/>
      <x:sz val="18"/>
      <x:color rgb="FFFFFFFF"/>
      <x:name val="Microsoft YaHei"/>
    </x:font>
    <x:font>
      <x:i/>
      <x:sz val="10"/>
      <x:color rgb="FF17365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2"/>
      <x:color rgb="FFFFFFFF"/>
      <x:name val="Microsoft YaHei"/>
    </x:font>
    <x:font>
      <x:b/>
      <x:sz val="11"/>
      <x:color rgb="FF17365D"/>
      <x:name val="Microsoft YaHei"/>
    </x:font>
    <x:font>
      <x:b/>
      <x:sz val="16"/>
      <x:color rgb="FF17365D"/>
      <x:name val="Microsoft YaHei"/>
    </x:font>
    <x:font>
      <x:b/>
      <x:sz val="10"/>
      <x:color rgb="FF1A1A1A"/>
      <x:name val="Songti SC"/>
    </x:font>
    <x:font>
      <x:sz val="10"/>
      <x:color rgb="FF1A1A1A"/>
      <x:name val="Songti SC"/>
    </x:font>
    <x:font>
      <x:i/>
      <x:sz val="10"/>
      <x:color rgb="FF1A1A1A"/>
      <x:name val="Songti SC"/>
    </x:font>
    <x:font>
      <x:b/>
      <x:sz val="16"/>
      <x:color rgb="FFFFFFFF"/>
      <x:name val="Songti SC"/>
    </x:font>
    <x:font>
      <x:i/>
      <x:sz val="10"/>
      <x:color rgb="FF1F4E78"/>
      <x:name val="Songti SC"/>
    </x:font>
    <x:font>
      <x:b/>
      <x:sz val="10"/>
      <x:color rgb="FFFFFFFF"/>
      <x:name val="Songti SC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21734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3F8F4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0" fillId="0" borderId="1" xfId="0"/>
    <x:xf numFmtId="0" fontId="0" fillId="0" borderId="1" xfId="0" applyAlignment="1">
      <x:alignment vertical="center"/>
    </x:xf>
    <x:xf numFmtId="0" fontId="0" fillId="0" borderId="1" xfId="0" applyAlignment="1">
      <x:alignment vertical="center" wrapText="1"/>
    </x:xf>
    <x:xf numFmtId="0" fontId="0" fillId="5" borderId="0" xfId="0"/>
    <x:xf numFmtId="0" fontId="3" fillId="5" borderId="0" xfId="0"/>
    <x:xf numFmtId="0" fontId="0" fillId="6" borderId="1" xfId="0" applyAlignment="1">
      <x:alignment vertical="center" wrapText="1"/>
    </x:xf>
    <x:xf numFmtId="0" fontId="0" fillId="7" borderId="1" xfId="0" applyAlignment="1">
      <x:alignment vertical="center" wrapText="1"/>
    </x:xf>
    <x:xf numFmtId="164" fontId="0" fillId="7" borderId="1" xfId="0" applyAlignment="1">
      <x:alignment vertical="center" wrapText="1"/>
    </x:xf>
    <x:xf numFmtId="164" fontId="0" fillId="6" borderId="1" xfId="0" applyAlignment="1">
      <x:alignment vertical="center" wrapText="1"/>
    </x:xf>
    <x:xf numFmtId="165" fontId="0" fillId="0" borderId="1" xfId="0" applyAlignment="1">
      <x:alignment vertical="center" wrapText="1"/>
    </x:xf>
    <x:xf numFmtId="165" fontId="0" fillId="6" borderId="1" xfId="0" applyAlignment="1">
      <x:alignment vertical="center" wrapText="1"/>
    </x:xf>
    <x:xf numFmtId="0" fontId="4" fillId="3" borderId="0" xfId="0"/>
    <x:xf numFmtId="0" fontId="4" fillId="3" borderId="1" xfId="0"/>
    <x:xf numFmtId="0" fontId="4" fillId="3" borderId="1" xfId="0" applyAlignment="1">
      <x:alignment vertical="center"/>
    </x:xf>
    <x:xf numFmtId="0" fontId="4" fillId="3" borderId="1" xfId="0" applyAlignment="1">
      <x:alignment vertical="center" wrapText="1"/>
    </x:xf>
    <x:xf numFmtId="0" fontId="0" fillId="8" borderId="1" xfId="0" applyAlignment="1">
      <x:alignment vertical="center" wrapText="1"/>
    </x:xf>
    <x:xf numFmtId="0" fontId="0" fillId="9" borderId="1" xfId="0" applyAlignment="1">
      <x:alignment vertical="center" wrapText="1"/>
    </x:xf>
    <x:xf numFmtId="165" fontId="0" fillId="8" borderId="1" xfId="0" applyAlignment="1">
      <x:alignment vertical="center" wrapText="1"/>
    </x:xf>
    <x:xf numFmtId="165" fontId="0" fillId="9" borderId="1" xfId="0" applyAlignment="1">
      <x:alignment vertical="center" wrapText="1"/>
    </x:xf>
    <x:xf numFmtId="164" fontId="0" fillId="8" borderId="1" xfId="0" applyAlignment="1">
      <x:alignment vertical="center" wrapText="1"/>
    </x:xf>
    <x:xf numFmtId="164" fontId="0" fillId="9" borderId="1" xfId="0" applyAlignment="1">
      <x:alignment vertical="center" wrapText="1"/>
    </x:xf>
    <x:xf numFmtId="0" fontId="5" fillId="2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0" fontId="3" fillId="5" borderId="0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0" fontId="6" fillId="0" borderId="0" xfId="0"/>
    <x:xf numFmtId="0" fontId="6" fillId="0" borderId="0" xfId="0" applyAlignment="1">
      <x:alignment horizontal="center"/>
    </x:xf>
    <x:xf numFmtId="0" fontId="6" fillId="0" borderId="0" xfId="0" applyAlignment="1">
      <x:alignment horizontal="center" vertical="center"/>
    </x:xf>
    <x:xf numFmtId="0" fontId="6" fillId="10" borderId="0" xfId="0" applyAlignment="1">
      <x:alignment horizontal="center" vertical="center"/>
    </x:xf>
    <x:xf numFmtId="0" fontId="6" fillId="10" borderId="1" xfId="0" applyAlignment="1">
      <x:alignment horizontal="center" vertical="center"/>
    </x:xf>
    <x:xf numFmtId="0" fontId="6" fillId="10" borderId="1" xfId="0" applyAlignment="1">
      <x:alignment horizontal="center" vertical="center" wrapText="1"/>
    </x:xf>
    <x:xf numFmtId="0" fontId="7" fillId="2" borderId="0" xfId="0" applyAlignment="1">
      <x:alignment horizontal="center" vertical="center"/>
    </x:xf>
    <x:xf numFmtId="0" fontId="8" fillId="3" borderId="0" xfId="0" applyAlignment="1">
      <x:alignment wrapText="1"/>
    </x:xf>
    <x:xf numFmtId="0" fontId="9" fillId="0" borderId="0" xfId="0"/>
    <x:xf numFmtId="0" fontId="10" fillId="4" borderId="1" xfId="0" applyAlignment="1">
      <x:alignment horizontal="center" vertical="center" wrapText="1"/>
    </x:xf>
    <x:xf numFmtId="0" fontId="9" fillId="0" borderId="1" xfId="0" applyAlignment="1">
      <x:alignment vertical="center" wrapText="1"/>
    </x:xf>
    <x:xf numFmtId="0" fontId="10" fillId="5" borderId="0" xfId="0"/>
    <x:xf numFmtId="0" fontId="8" fillId="3" borderId="0" xfId="0" applyAlignment="1">
      <x:alignment vertical="center" wrapText="1"/>
    </x:xf>
    <x:xf numFmtId="0" fontId="9" fillId="0" borderId="0" xfId="0" applyAlignment="1">
      <x:alignment vertical="center"/>
    </x:xf>
    <x:xf numFmtId="0" fontId="10" fillId="5" borderId="0" xfId="0" applyAlignment="1">
      <x:alignment vertical="center"/>
    </x:xf>
    <x:xf numFmtId="0" fontId="9" fillId="6" borderId="1" xfId="0" applyAlignment="1">
      <x:alignment vertical="center" wrapText="1"/>
    </x:xf>
    <x:xf numFmtId="164" fontId="9" fillId="7" borderId="1" xfId="0" applyAlignment="1">
      <x:alignment vertical="center" wrapText="1"/>
    </x:xf>
    <x:xf numFmtId="164" fontId="9" fillId="6" borderId="1" xfId="0" applyAlignment="1">
      <x:alignment vertical="center" wrapText="1"/>
    </x:xf>
    <x:xf numFmtId="0" fontId="9" fillId="7" borderId="1" xfId="0" applyAlignment="1">
      <x:alignment vertical="center" wrapText="1"/>
    </x:xf>
    <x:xf numFmtId="0" fontId="9" fillId="8" borderId="1" xfId="0" applyAlignment="1">
      <x:alignment vertical="center" wrapText="1"/>
    </x:xf>
    <x:xf numFmtId="165" fontId="9" fillId="8" borderId="1" xfId="0" applyAlignment="1">
      <x:alignment vertical="center" wrapText="1"/>
    </x:xf>
    <x:xf numFmtId="164" fontId="9" fillId="8" borderId="1" xfId="0" applyAlignment="1">
      <x:alignment vertical="center" wrapText="1"/>
    </x:xf>
    <x:xf numFmtId="165" fontId="9" fillId="0" borderId="1" xfId="0" applyAlignment="1">
      <x:alignment vertical="center" wrapText="1"/>
    </x:xf>
    <x:xf numFmtId="0" fontId="9" fillId="9" borderId="1" xfId="0" applyAlignment="1">
      <x:alignment vertical="center" wrapText="1"/>
    </x:xf>
    <x:xf numFmtId="165" fontId="9" fillId="9" borderId="1" xfId="0" applyAlignment="1">
      <x:alignment vertical="center" wrapText="1"/>
    </x:xf>
    <x:xf numFmtId="164" fontId="9" fillId="9" borderId="1" xfId="0" applyAlignment="1">
      <x:alignment vertical="center" wrapText="1"/>
    </x:xf>
    <x:xf numFmtId="0" fontId="11" fillId="2" borderId="0" xfId="0"/>
    <x:xf numFmtId="0" fontId="11" fillId="2" borderId="0" xfId="0" applyAlignment="1">
      <x:alignment vertical="center"/>
    </x:xf>
    <x:xf numFmtId="165" fontId="9" fillId="6" borderId="1" xfId="0" applyAlignment="1">
      <x:alignment vertical="center" wrapText="1"/>
    </x:xf>
    <x:xf numFmtId="0" fontId="12" fillId="3" borderId="1" xfId="0" applyAlignment="1">
      <x:alignment vertical="center" wrapText="1"/>
    </x:xf>
    <x:xf numFmtId="0" fontId="10" fillId="5" borderId="1" xfId="0" applyAlignment="1">
      <x:alignment horizontal="center" vertical="center" wrapText="1"/>
    </x:xf>
    <x:xf numFmtId="0" fontId="13" fillId="10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164" fontId="9" fillId="7" borderId="1" xfId="0" applyAlignment="1">
      <x:alignment vertical="center" wrapText="1"/>
    </x:xf>
    <x:xf numFmtId="164" fontId="9" fillId="6" borderId="1" xfId="0" applyAlignment="1">
      <x:alignment vertical="center" wrapText="1"/>
    </x:xf>
    <x:xf numFmtId="165" fontId="9" fillId="8" borderId="1" xfId="0" applyAlignment="1">
      <x:alignment vertical="center" wrapText="1"/>
    </x:xf>
    <x:xf numFmtId="164" fontId="9" fillId="8" borderId="1" xfId="0" applyAlignment="1">
      <x:alignment vertical="center" wrapText="1"/>
    </x:xf>
    <x:xf numFmtId="165" fontId="9" fillId="0" borderId="1" xfId="0" applyAlignment="1">
      <x:alignment vertical="center" wrapText="1"/>
    </x:xf>
    <x:xf numFmtId="165" fontId="9" fillId="9" borderId="1" xfId="0" applyAlignment="1">
      <x:alignment vertical="center" wrapText="1"/>
    </x:xf>
    <x:xf numFmtId="164" fontId="9" fillId="9" borderId="1" xfId="0" applyAlignment="1">
      <x:alignment vertical="center" wrapText="1"/>
    </x:xf>
    <x:xf numFmtId="165" fontId="9" fillId="6" borderId="1" xfId="0" applyAlignment="1">
      <x:alignment vertical="center" wrapText="1"/>
    </x:xf>
    <x:xf numFmtId="0" fontId="0" fillId="0" borderId="3" xfId="0"/>
    <x:xf numFmtId="0" fontId="0" fillId="0" borderId="8" xfId="0"/>
    <x:xf numFmtId="0" fontId="0" fillId="0" borderId="9" xfId="0"/>
    <x:xf numFmtId="0" fontId="14" fillId="2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6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/>
    </x:xf>
    <x:xf numFmtId="0" fontId="14" fillId="4" borderId="1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/>
    </x:xf>
    <x:xf numFmtId="0" fontId="15" fillId="0" borderId="4" xfId="0" applyNumberFormat="1" applyFont="1" applyFill="1" applyBorder="1"/>
    <x:xf numFmtId="0" fontId="15" fillId="0" borderId="5" xfId="0" applyNumberFormat="1" applyFont="1" applyFill="1" applyBorder="1"/>
    <x:xf numFmtId="0" fontId="14" fillId="11" borderId="0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6" fillId="12" borderId="0" xfId="0" applyNumberFormat="1" applyFont="1" applyFill="1" applyBorder="1" applyAlignment="1">
      <x:alignment vertical="center" wrapText="1"/>
    </x:xf>
    <x:xf numFmtId="0" fontId="15" fillId="12" borderId="0" xfId="0" applyNumberFormat="1" applyFont="1" applyFill="1" applyBorder="1"/>
    <x:xf numFmtId="0" fontId="18" fillId="12" borderId="0" xfId="0" applyNumberFormat="1" applyFont="1" applyFill="1" applyBorder="1" applyAlignment="1">
      <x:alignment vertical="center" wrapText="1"/>
    </x:xf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  <x:xf numFmtId="0" fontId="14" fillId="11" borderId="1" xfId="0" applyNumberFormat="1" applyFont="1" applyFill="1" applyBorder="1" applyAlignment="1">
      <x:alignment horizontal="center" vertical="center" wrapText="1"/>
    </x:xf>
    <x:xf numFmtId="0" fontId="19" fillId="11" borderId="1" xfId="0" applyNumberFormat="1" applyFont="1" applyFill="1" applyBorder="1" applyAlignment="1">
      <x:alignment horizontal="center" vertical="center" wrapText="1"/>
    </x:xf>
    <x:xf numFmtId="0" fontId="19" fillId="11" borderId="10" xfId="0" applyNumberFormat="1" applyFont="1" applyFill="1" applyBorder="1" applyAlignment="1">
      <x:alignment horizontal="center" vertical="center" wrapText="1"/>
    </x:xf>
    <x:xf numFmtId="0" fontId="19" fillId="11" borderId="0" xfId="0" applyNumberFormat="1" applyFont="1" applyFill="1" applyBorder="1"/>
    <x:xf numFmtId="0" fontId="19" fillId="11" borderId="10" xfId="0" applyNumberFormat="1" applyFont="1" applyFill="1" applyBorder="1"/>
    <x:xf numFmtId="0" fontId="19" fillId="11" borderId="10" xfId="0" applyNumberFormat="1" applyFont="1" applyFill="1" applyBorder="1" applyAlignment="1">
      <x:alignment wrapText="1"/>
    </x:xf>
    <x:xf numFmtId="0" fontId="19" fillId="11" borderId="10" xfId="0" applyNumberFormat="1" applyFont="1" applyFill="1" applyBorder="1" applyAlignment="1">
      <x:alignment horizontal="center" wrapText="1"/>
    </x:xf>
    <x:xf numFmtId="0" fontId="15" fillId="0" borderId="10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center"/>
    </x:xf>
    <x:xf numFmtId="0" fontId="14" fillId="5" borderId="10" xfId="0" applyNumberFormat="1" applyFont="1" applyFill="1" applyBorder="1" applyAlignment="1">
      <x:alignment vertical="center"/>
    </x:xf>
    <x:xf numFmtId="0" fontId="15" fillId="0" borderId="10" xfId="0" applyNumberFormat="1" applyFont="1" applyFill="1" applyBorder="1"/>
    <x:xf numFmtId="0" fontId="14" fillId="5" borderId="10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wrapText="1"/>
    </x:xf>
    <x:xf numFmtId="0" fontId="15" fillId="11" borderId="1" xfId="0" applyNumberFormat="1" applyFont="1" applyFill="1" applyBorder="1" applyAlignment="1">
      <x:alignment vertical="center" wrapText="1"/>
    </x:xf>
    <x:xf numFmtId="0" fontId="15" fillId="11" borderId="4" xfId="0" applyNumberFormat="1" applyFont="1" applyFill="1" applyBorder="1"/>
    <x:xf numFmtId="0" fontId="15" fillId="11" borderId="5" xfId="0" applyNumberFormat="1" applyFont="1" applyFill="1" applyBorder="1"/>
    <x:xf numFmtId="0" fontId="19" fillId="11" borderId="1" xfId="0" applyNumberFormat="1" applyFont="1" applyFill="1" applyBorder="1" applyAlignment="1">
      <x:alignment vertical="center" wrapText="1"/>
    </x:xf>
    <x:xf numFmtId="0" fontId="19" fillId="11" borderId="4" xfId="0" applyNumberFormat="1" applyFont="1" applyFill="1" applyBorder="1"/>
    <x:xf numFmtId="0" fontId="19" fillId="11" borderId="5" xfId="0" applyNumberFormat="1" applyFont="1" applyFill="1" applyBorder="1"/>
    <x:xf numFmtId="0" fontId="19" fillId="11" borderId="10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0ed59a6db45f4" /><Relationship Type="http://schemas.openxmlformats.org/officeDocument/2006/relationships/theme" Target="/xl/theme/theme1.xml" Id="R7c3e005316e34f50" /><Relationship Type="http://schemas.openxmlformats.org/officeDocument/2006/relationships/sharedStrings" Target="/xl/sharedStrings.xml" Id="R3d6787c8ce7a4b17" /><Relationship Type="http://schemas.openxmlformats.org/officeDocument/2006/relationships/worksheet" Target="/xl/worksheets/sheet1.xml" Id="Raab32d65b34444a3" /><Relationship Type="http://schemas.openxmlformats.org/officeDocument/2006/relationships/worksheet" Target="/xl/worksheets/sheet2.xml" Id="Rf11b1ab24124486f" /><Relationship Type="http://schemas.openxmlformats.org/officeDocument/2006/relationships/worksheet" Target="/xl/worksheets/sheet3.xml" Id="Rb0daeafc9f444e43" /><Relationship Type="http://schemas.openxmlformats.org/officeDocument/2006/relationships/worksheet" Target="/xl/worksheets/sheet4.xml" Id="R4a904fa1dcda4b05" /><Relationship Type="http://schemas.openxmlformats.org/officeDocument/2006/relationships/worksheet" Target="/xl/worksheets/sheet5.xml" Id="Ra1b3f997af3440d0" /><Relationship Type="http://schemas.openxmlformats.org/officeDocument/2006/relationships/worksheet" Target="/xl/worksheets/sheet6.xml" Id="R31d0bb54dad7466a" /><Relationship Type="http://schemas.openxmlformats.org/officeDocument/2006/relationships/worksheet" Target="/xl/worksheets/sheet7.xml" Id="R841cd596f1fc456b" /><Relationship Type="http://schemas.openxmlformats.org/officeDocument/2006/relationships/worksheet" Target="/xl/worksheets/sheet8.xml" Id="R4053896c71014711" /><Relationship Type="http://schemas.openxmlformats.org/officeDocument/2006/relationships/worksheet" Target="/xl/worksheets/sheet9.xml" Id="Rc2f9f0d6fd4348d0" /><Relationship Type="http://schemas.microsoft.com/office/2017/10/relationships/person" Target="/xl/persons/person.xml" Id="R73c3adc0e34b46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304517707ce4f5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e19f7bf28b3470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46e34d523c84ea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d0fd19cda0e42c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acefc455a97b44f9" /><Relationship Type="http://schemas.openxmlformats.org/officeDocument/2006/relationships/chart" Target="/xl/drawings/charts/chart1.xml" Id="R81883170b8dd437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73980b7a9e8943c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891d5b256f274db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五维当前分与目标分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满分</c:v>
          </c:tx>
          <c:spPr>
            <a:ln xmlns:a="http://schemas.openxmlformats.org/drawingml/2006/main">
              <a:prstDash val="solid"/>
            </a:ln>
          </c:spPr>
          <c:cat>
            <c:strRef>
              <c:f>'诊断看板'!$A$12:$A$16</c:f>
              <c:strCache>
                <c:ptCount val="0"/>
              </c:strCache>
            </c:strRef>
          </c:cat>
          <c:val>
            <c:numRef>
              <c:f>'诊断看板'!$B$12:$B$16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当前得分</c:v>
          </c:tx>
          <c:spPr>
            <a:ln xmlns:a="http://schemas.openxmlformats.org/drawingml/2006/main">
              <a:prstDash val="solid"/>
            </a:ln>
          </c:spPr>
          <c:cat>
            <c:strRef>
              <c:f>'诊断看板'!$A$12:$A$16</c:f>
              <c:strCache>
                <c:ptCount val="0"/>
              </c:strCache>
            </c:strRef>
          </c:cat>
          <c:val>
            <c:numRef>
              <c:f>'诊断看板'!$C$12:$C$16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目标得分</c:v>
          </c:tx>
          <c:spPr>
            <a:ln xmlns:a="http://schemas.openxmlformats.org/drawingml/2006/main">
              <a:prstDash val="solid"/>
            </a:ln>
          </c:spPr>
          <c:cat>
            <c:strRef>
              <c:f>'诊断看板'!$A$12:$A$16</c:f>
              <c:strCache>
                <c:ptCount val="0"/>
              </c:strCache>
            </c:strRef>
          </c:cat>
          <c:val>
            <c:numRef>
              <c:f>'诊断看板'!$D$12:$D$16</c:f>
              <c:numCache>
                <c:formatCode>0.0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3</xdr:row>
      <xdr:rowOff>0</xdr:rowOff>
    </xdr:from>
    <xdr:ext cx="1981200" cy="1924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04517707ce4f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31</xdr:row>
      <xdr:rowOff>0</xdr:rowOff>
    </xdr:from>
    <xdr:ext cx="1981200" cy="1924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19f7bf28b3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9</xdr:row>
      <xdr:rowOff>0</xdr:rowOff>
    </xdr:from>
    <xdr:ext cx="1981200" cy="19240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e34d523c84e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5</xdr:col>
      <xdr:colOff>0</xdr:colOff>
      <xdr:row>13</xdr:row>
      <xdr:rowOff>0</xdr:rowOff>
    </xdr:from>
    <xdr:ext cx="1981200" cy="19240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fd19cda0e42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83170b8dd4375"/>
        </a:graphicData>
      </a:graphic>
    </xdr:graphicFrame>
    <xdr:clientData/>
  </xdr:twoCellAnchor>
  <xdr:oneCellAnchor>
    <xdr:from>
      <xdr:col>3</xdr:col>
      <xdr:colOff>0</xdr:colOff>
      <xdr:row>6</xdr:row>
      <xdr:rowOff>0</xdr:rowOff>
    </xdr:from>
    <xdr:ext cx="1981200" cy="1924050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efc455a97b44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2</xdr:col>
      <xdr:colOff>0</xdr:colOff>
      <xdr:row>7</xdr:row>
      <xdr:rowOff>0</xdr:rowOff>
    </xdr:from>
    <xdr:ext cx="1981200" cy="192405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980b7a9e8943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0</xdr:colOff>
      <xdr:row>13</xdr:row>
      <xdr:rowOff>0</xdr:rowOff>
    </xdr:from>
    <xdr:ext cx="1981200" cy="192405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1d5b256f274d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焦糖" id="{5778E93C-586C-46A7-9C67-ECE31F775C7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2d3ac2323e41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7444f51475949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026f6ed5e62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dd3e0459b34045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93f49144623842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6f8323a7ad244d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a5a5c9b9654d42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9" customWidth="1"/>
    <x:col min="3" max="3" width="18" customWidth="1"/>
    <x:col min="4" max="4" width="18" customWidth="1"/>
    <x:col min="5" max="5" width="32" customWidth="1"/>
    <x:col min="6" max="6" width="18" customWidth="1"/>
    <x:col min="7" max="7" width="18" customWidth="1"/>
    <x:col min="8" max="8" width="28" customWidth="1"/>
  </x:cols>
  <x:sheetData>
    <x:row r="1" ht="34" customHeight="1">
      <x:c r="A1" s="46" t="inlineStr">
        <x:is>
          <x:t xml:space="preserve">专精特新与“小巨人”客户评分及对标提升工具</x:t>
        </x:is>
      </x:c>
    </x:row>
    <x:row r="2" ht="32" customHeight="1">
      <x:c r="A2" s="52" t="str">
        <x:v>用于申报前评分。企业财务只采用用户材料；专利、资质、荣誉和标准优先通过企查查核验；行业比较优先采用统计局同国标行业公开值做代理，并与正式系统分分开。</x:v>
      </x:c>
    </x:row>
    <x:row r="3">
      <x:c r="A3" s="53" t="n"/>
      <x:c r="B3" s="53" t="n"/>
      <x:c r="C3" s="53" t="n"/>
      <x:c r="D3" s="53" t="n"/>
      <x:c r="E3" s="53" t="n"/>
      <x:c r="F3" s="53" t="n"/>
      <x:c r="G3" s="53" t="n"/>
      <x:c r="H3" s="53" t="n"/>
    </x:row>
    <x:row r="4">
      <x:c r="A4" s="49" t="inlineStr">
        <x:is>
          <x:t xml:space="preserve">使用顺序</x:t>
        </x:is>
      </x:c>
      <x:c r="B4" s="49" t="inlineStr">
        <x:is>
          <x:t xml:space="preserve">操作</x:t>
        </x:is>
      </x:c>
      <x:c r="C4" s="49" t="inlineStr">
        <x:is>
          <x:t xml:space="preserve">输入位置</x:t>
        </x:is>
      </x:c>
      <x:c r="D4" s="49" t="inlineStr">
        <x:is>
          <x:t xml:space="preserve">输出位置</x:t>
        </x:is>
      </x:c>
      <x:c r="E4" s="49" t="inlineStr">
        <x:is>
          <x:t xml:space="preserve">核心判断</x:t>
        </x:is>
      </x:c>
      <x:c r="F4" s="49" t="inlineStr">
        <x:is>
          <x:t xml:space="preserve">建议频率</x:t>
        </x:is>
      </x:c>
      <x:c r="G4" s="49" t="inlineStr">
        <x:is>
          <x:t xml:space="preserve">责任人</x:t>
        </x:is>
      </x:c>
      <x:c r="H4" s="49" t="inlineStr">
        <x:is>
          <x:t xml:space="preserve">备注</x:t>
        </x:is>
      </x:c>
    </x:row>
    <x:row r="5">
      <x:c r="A5" s="50" t="n">
        <x:v>1</x:v>
      </x:c>
      <x:c r="B5" s="50" t="inlineStr">
        <x:is>
          <x:t xml:space="preserve">选择申报类型并录入客户数据</x:t>
        </x:is>
      </x:c>
      <x:c r="C5" s="50" t="inlineStr">
        <x:is>
          <x:t xml:space="preserve">客户数据录入</x:t>
        </x:is>
      </x:c>
      <x:c r="D5" s="50" t="inlineStr">
        <x:is>
          <x:t xml:space="preserve">—</x:t>
        </x:is>
      </x:c>
      <x:c r="E5" s="50" t="inlineStr">
        <x:is>
          <x:t xml:space="preserve">黄色单元格为输入项</x:t>
        </x:is>
      </x:c>
      <x:c r="F5" s="50" t="inlineStr">
        <x:is>
          <x:t xml:space="preserve">首次诊断/数据更新时</x:t>
        </x:is>
      </x:c>
      <x:c r="G5" s="50" t="inlineStr">
        <x:is>
          <x:t xml:space="preserve">项目经理</x:t>
        </x:is>
      </x:c>
      <x:c r="H5" s="50" t="inlineStr">
        <x:is>
          <x:t xml:space="preserve">百分比按 10% 形式录入</x:t>
        </x:is>
      </x:c>
    </x:row>
    <x:row r="6">
      <x:c r="A6" s="50" t="n">
        <x:v>2</x:v>
      </x:c>
      <x:c r="B6" s="50" t="inlineStr">
        <x:is>
          <x:t xml:space="preserve">先看硬门槛</x:t>
        </x:is>
      </x:c>
      <x:c r="C6" s="50" t="inlineStr">
        <x:is>
          <x:t xml:space="preserve">硬门槛核验</x:t>
        </x:is>
      </x:c>
      <x:c r="D6" s="50" t="inlineStr">
        <x:is>
          <x:t xml:space="preserve">硬门槛核验</x:t>
        </x:is>
      </x:c>
      <x:c r="E6" s="50" t="inlineStr">
        <x:is>
          <x:t xml:space="preserve">任何一项不通过，先补门槛再谈质量分</x:t>
        </x:is>
      </x:c>
      <x:c r="F6" s="50" t="inlineStr">
        <x:is>
          <x:t xml:space="preserve">每次申报前</x:t>
        </x:is>
      </x:c>
      <x:c r="G6" s="50" t="inlineStr">
        <x:is>
          <x:t xml:space="preserve">项目经理+财务</x:t>
        </x:is>
      </x:c>
      <x:c r="H6" s="50" t="inlineStr">
        <x:is>
          <x:t xml:space="preserve">复核企业可用近两年任意一年质量分</x:t>
        </x:is>
      </x:c>
    </x:row>
    <x:row r="7">
      <x:c r="A7" s="50" t="n">
        <x:v>3</x:v>
      </x:c>
      <x:c r="B7" s="50" t="inlineStr">
        <x:is>
          <x:t xml:space="preserve">检查模型建议分</x:t>
        </x:is>
      </x:c>
      <x:c r="C7" s="50" t="inlineStr">
        <x:is>
          <x:t xml:space="preserve">评分底稿 F列</x:t>
        </x:is>
      </x:c>
      <x:c r="D7" s="50" t="inlineStr">
        <x:is>
          <x:t xml:space="preserve">评分底稿</x:t>
        </x:is>
      </x:c>
      <x:c r="E7" s="50" t="inlineStr">
        <x:is>
          <x:t xml:space="preserve">模型建议分可被人工调整覆盖</x:t>
        </x:is>
      </x:c>
      <x:c r="F7" s="50" t="inlineStr">
        <x:is>
          <x:t xml:space="preserve">底稿完成时</x:t>
        </x:is>
      </x:c>
      <x:c r="G7" s="50" t="inlineStr">
        <x:is>
          <x:t xml:space="preserve">分析人员</x:t>
        </x:is>
      </x:c>
      <x:c r="H7" s="50" t="inlineStr">
        <x:is>
          <x:t xml:space="preserve">行业均值应与同口径专精特新企业对比</x:t>
        </x:is>
      </x:c>
    </x:row>
    <x:row r="8">
      <x:c r="A8" s="50" t="n">
        <x:v>4</x:v>
      </x:c>
      <x:c r="B8" s="50" t="inlineStr">
        <x:is>
          <x:t xml:space="preserve">设置目标分</x:t>
        </x:is>
      </x:c>
      <x:c r="C8" s="50" t="inlineStr">
        <x:is>
          <x:t xml:space="preserve">评分底稿 I列</x:t>
        </x:is>
      </x:c>
      <x:c r="D8" s="50" t="inlineStr">
        <x:is>
          <x:t xml:space="preserve">评分底稿/诊断看板</x:t>
        </x:is>
      </x:c>
      <x:c r="E8" s="50" t="inlineStr">
        <x:is>
          <x:t xml:space="preserve">目标分不得超过单项满分</x:t>
        </x:is>
      </x:c>
      <x:c r="F8" s="50" t="inlineStr">
        <x:is>
          <x:t xml:space="preserve">制定提升方案时</x:t>
        </x:is>
      </x:c>
      <x:c r="G8" s="50" t="inlineStr">
        <x:is>
          <x:t xml:space="preserve">项目经理</x:t>
        </x:is>
      </x:c>
      <x:c r="H8" s="50" t="inlineStr">
        <x:is>
          <x:t xml:space="preserve">优先处理硬门槛和高增分项</x:t>
        </x:is>
      </x:c>
    </x:row>
    <x:row r="9">
      <x:c r="A9" s="50" t="n">
        <x:v>5</x:v>
      </x:c>
      <x:c r="B9" s="50" t="inlineStr">
        <x:is>
          <x:t xml:space="preserve">查看五维短板</x:t>
        </x:is>
      </x:c>
      <x:c r="C9" s="50" t="inlineStr">
        <x:is>
          <x:t xml:space="preserve">—</x:t>
        </x:is>
      </x:c>
      <x:c r="D9" s="50" t="inlineStr">
        <x:is>
          <x:t xml:space="preserve">诊断看板</x:t>
        </x:is>
      </x:c>
      <x:c r="E9" s="50" t="inlineStr">
        <x:is>
          <x:t xml:space="preserve">比较当前分、目标分和维度满分</x:t>
        </x:is>
      </x:c>
      <x:c r="F9" s="50" t="inlineStr">
        <x:is>
          <x:t xml:space="preserve">阶段复盘时</x:t>
        </x:is>
      </x:c>
      <x:c r="G9" s="50" t="inlineStr">
        <x:is>
          <x:t xml:space="preserve">项目组</x:t>
        </x:is>
      </x:c>
      <x:c r="H9" s="50" t="inlineStr">
        <x:is>
          <x:t xml:space="preserve">达到线不代表一定获批</x:t>
        </x:is>
      </x:c>
    </x:row>
    <x:row r="10">
      <x:c r="A10" s="50" t="n">
        <x:v>6</x:v>
      </x:c>
      <x:c r="B10" s="50" t="inlineStr">
        <x:is>
          <x:t xml:space="preserve">形成行动计划</x:t>
        </x:is>
      </x:c>
      <x:c r="C10" s="50" t="inlineStr">
        <x:is>
          <x:t xml:space="preserve">提升行动 G:I列</x:t>
        </x:is>
      </x:c>
      <x:c r="D10" s="50" t="inlineStr">
        <x:is>
          <x:t xml:space="preserve">提升行动</x:t>
        </x:is>
      </x:c>
      <x:c r="E10" s="50" t="inlineStr">
        <x:is>
          <x:t xml:space="preserve">将动作落到责任人、期限和状态</x:t>
        </x:is>
      </x:c>
      <x:c r="F10" s="50" t="inlineStr">
        <x:is>
          <x:t xml:space="preserve">月度/季度</x:t>
        </x:is>
      </x:c>
      <x:c r="G10" s="50" t="inlineStr">
        <x:is>
          <x:t xml:space="preserve">企业负责人</x:t>
        </x:is>
      </x:c>
      <x:c r="H10" s="50" t="inlineStr">
        <x:is>
          <x:t xml:space="preserve">第三张源表的实操动作已吸收</x:t>
        </x:is>
      </x:c>
    </x:row>
    <x:row r="11">
      <x:c r="A11" s="53" t="n"/>
      <x:c r="B11" s="53" t="n"/>
      <x:c r="C11" s="53" t="n"/>
      <x:c r="D11" s="53" t="n"/>
      <x:c r="E11" s="53" t="n"/>
      <x:c r="F11" s="53" t="n"/>
      <x:c r="G11" s="53" t="n"/>
      <x:c r="H11" s="53" t="n"/>
    </x:row>
    <x:row r="12" ht="24" customHeight="1">
      <x:c r="A12" s="54" t="inlineStr">
        <x:is>
          <x:t xml:space="preserve">模型边界</x:t>
        </x:is>
      </x:c>
    </x:row>
    <x:row r="13">
      <x:c r="A13" s="50" t="inlineStr">
        <x:is>
          <x:t xml:space="preserve">事实层</x:t>
        </x:is>
      </x:c>
      <x:c r="B13" s="50" t="inlineStr">
        <x:is>
          <x:t xml:space="preserve">五个一级维度、23项三级指标、指标方向和定义来自工信厅企业〔2024〕75号。</x:t>
        </x:is>
      </x:c>
      <x:c r="C13" s="72" t="n"/>
      <x:c r="D13" s="72" t="n"/>
      <x:c r="E13" s="72" t="n"/>
      <x:c r="F13" s="72" t="n"/>
      <x:c r="G13" s="72" t="n"/>
      <x:c r="H13" s="73" t="n"/>
    </x:row>
    <x:row r="14">
      <x:c r="A14" s="50" t="inlineStr">
        <x:is>
          <x:t xml:space="preserve">门槛层</x:t>
        </x:is>
      </x:c>
      <x:c r="B14" s="50" t="inlineStr">
        <x:is>
          <x:t xml:space="preserve">省级专精特新中小企业与专精特新“小巨人”的资格条件来自工信部企业〔2026〕2号。</x:t>
        </x:is>
      </x:c>
      <x:c r="C14" s="72" t="n"/>
      <x:c r="D14" s="72" t="n"/>
      <x:c r="E14" s="72" t="n"/>
      <x:c r="F14" s="72" t="n"/>
      <x:c r="G14" s="72" t="n"/>
      <x:c r="H14" s="73" t="n"/>
    </x:row>
    <x:row r="15">
      <x:c r="A15" s="50" t="inlineStr">
        <x:is>
          <x:t xml:space="preserve">推断层</x:t>
        </x:is>
      </x:c>
      <x:c r="B15" s="50" t="inlineStr">
        <x:is>
          <x:t xml:space="preserve">一级维度内的细项分值、行业差值阶梯和目标优先级，是基于桌面三份评分表统一后的专家推断。</x:t>
        </x:is>
      </x:c>
      <x:c r="C15" s="72" t="n"/>
      <x:c r="D15" s="72" t="n"/>
      <x:c r="E15" s="72" t="n"/>
      <x:c r="F15" s="72" t="n"/>
      <x:c r="G15" s="72" t="n"/>
      <x:c r="H15" s="73" t="n"/>
    </x:row>
    <x:row r="16">
      <x:c r="A16" s="50" t="inlineStr">
        <x:is>
          <x:t xml:space="preserve">使用结论</x:t>
        </x:is>
      </x:c>
      <x:c r="B16" s="50" t="inlineStr">
        <x:is>
          <x:t xml:space="preserve">本工具用于客户预诊断、短板识别和提升排序；最终结果以主管部门、申报平台和当期通知为准。</x:t>
        </x:is>
      </x:c>
      <x:c r="C16" s="72" t="n"/>
      <x:c r="D16" s="72" t="n"/>
      <x:c r="E16" s="72" t="n"/>
      <x:c r="F16" s="72" t="n"/>
      <x:c r="G16" s="72" t="n"/>
      <x:c r="H16" s="73" t="n"/>
    </x:row>
  </x:sheetData>
  <x:mergeCells>
    <x:mergeCell ref="A12:H12"/>
    <x:mergeCell ref="B14:H14"/>
    <x:mergeCell ref="B13:H13"/>
    <x:mergeCell ref="A2:H2"/>
    <x:mergeCell ref="B16:H16"/>
    <x:mergeCell ref="B15:H15"/>
    <x:mergeCell ref="A1:H1"/>
  </x:mergeCells>
  <x:pageMargins left="0.7" right="0.7" top="0.75" bottom="0.75" header="0.3" footer="0.3"/>
  <x:drawing xmlns:r="http://schemas.openxmlformats.org/officeDocument/2006/relationships" r:id="R572d3ac2323e41b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7" customWidth="1"/>
    <x:col min="3" max="3" width="25" customWidth="1"/>
    <x:col min="4" max="4" width="16" customWidth="1"/>
    <x:col min="5" max="5" width="45" customWidth="1"/>
  </x:cols>
  <x:sheetData>
    <x:row r="1" ht="34" customHeight="1">
      <x:c r="A1" s="46" t="inlineStr">
        <x:is>
          <x:t xml:space="preserve">客户数据录入</x:t>
        </x:is>
      </x:c>
    </x:row>
    <x:row r="2" ht="32" customHeight="1">
      <x:c r="A2" s="52" t="inlineStr">
        <x:is>
          <x:t xml:space="preserve">仅在黄色单元格录入或选择。财务与行业对标数据尽量采用同一期间、同一口径；没有可靠数据时留空，不要估填。</x:t>
        </x:is>
      </x:c>
    </x:row>
    <x:row r="3">
      <x:c r="A3" s="53" t="n"/>
      <x:c r="B3" s="53" t="n"/>
      <x:c r="C3" s="53" t="n"/>
      <x:c r="D3" s="53" t="n"/>
      <x:c r="E3" s="53" t="n"/>
    </x:row>
    <x:row r="4">
      <x:c r="A4" s="49" t="inlineStr">
        <x:is>
          <x:t xml:space="preserve">字段编号</x:t>
        </x:is>
      </x:c>
      <x:c r="B4" s="49" t="inlineStr">
        <x:is>
          <x:t xml:space="preserve">数据项</x:t>
        </x:is>
      </x:c>
      <x:c r="C4" s="49" t="inlineStr">
        <x:is>
          <x:t xml:space="preserve">录入值</x:t>
        </x:is>
      </x:c>
      <x:c r="D4" s="49" t="inlineStr">
        <x:is>
          <x:t xml:space="preserve">单位/格式</x:t>
        </x:is>
      </x:c>
      <x:c r="E4" s="49" t="inlineStr">
        <x:is>
          <x:t xml:space="preserve">口径与用途</x:t>
        </x:is>
      </x:c>
    </x:row>
    <x:row r="5">
      <x:c r="A5" s="50" t="inlineStr">
        <x:is>
          <x:t xml:space="preserve">B01</x:t>
        </x:is>
      </x:c>
      <x:c r="B5" s="50" t="inlineStr">
        <x:is>
          <x:t xml:space="preserve">申报类型</x:t>
        </x:is>
      </x:c>
      <x:c r="C5" s="55" t="inlineStr">
        <x:is>
          <x:t xml:space="preserve">专精特新中小企业</x:t>
        </x:is>
      </x:c>
      <x:c r="D5" s="50" t="inlineStr">
        <x:is>
          <x:t xml:space="preserve">下拉选择</x:t>
        </x:is>
      </x:c>
      <x:c r="E5" s="50" t="inlineStr">
        <x:is>
          <x:t xml:space="preserve">决定硬门槛和达标线</x:t>
        </x:is>
      </x:c>
    </x:row>
    <x:row r="6">
      <x:c r="A6" s="50" t="inlineStr">
        <x:is>
          <x:t xml:space="preserve">B02</x:t>
        </x:is>
      </x:c>
      <x:c r="B6" s="50" t="inlineStr">
        <x:is>
          <x:t xml:space="preserve">企业名称</x:t>
        </x:is>
      </x:c>
      <x:c r="C6" s="55" t="str"/>
      <x:c r="D6" s="50" t="inlineStr">
        <x:is>
          <x:t xml:space="preserve">文本</x:t>
        </x:is>
      </x:c>
      <x:c r="E6" s="50" t="inlineStr">
        <x:is>
          <x:t xml:space="preserve">客户主体全称</x:t>
        </x:is>
      </x:c>
    </x:row>
    <x:row r="7">
      <x:c r="A7" s="50" t="inlineStr">
        <x:is>
          <x:t xml:space="preserve">B03</x:t>
        </x:is>
      </x:c>
      <x:c r="B7" s="50" t="inlineStr">
        <x:is>
          <x:t xml:space="preserve">申报性质</x:t>
        </x:is>
      </x:c>
      <x:c r="C7" s="55" t="inlineStr">
        <x:is>
          <x:t xml:space="preserve">新申报</x:t>
        </x:is>
      </x:c>
      <x:c r="D7" s="50" t="inlineStr">
        <x:is>
          <x:t xml:space="preserve">下拉选择</x:t>
        </x:is>
      </x:c>
      <x:c r="E7" s="50" t="inlineStr">
        <x:is>
          <x:t xml:space="preserve">复核企业的质量分可看近两年任意一年</x:t>
        </x:is>
      </x:c>
    </x:row>
    <x:row r="8">
      <x:c r="A8" s="50" t="inlineStr">
        <x:is>
          <x:t xml:space="preserve">B04</x:t>
        </x:is>
      </x:c>
      <x:c r="B8" s="50" t="inlineStr">
        <x:is>
          <x:t xml:space="preserve">评价年度</x:t>
        </x:is>
      </x:c>
      <x:c r="C8" s="55" t="n">
        <x:v>2026</x:v>
      </x:c>
      <x:c r="D8" s="50" t="inlineStr">
        <x:is>
          <x:t xml:space="preserve">年份</x:t>
        </x:is>
      </x:c>
      <x:c r="E8" s="50" t="inlineStr">
        <x:is>
          <x:t xml:space="preserve">用于版本留痕</x:t>
        </x:is>
      </x:c>
    </x:row>
    <x:row r="9">
      <x:c r="A9" s="50" t="inlineStr">
        <x:is>
          <x:t xml:space="preserve">B05</x:t>
        </x:is>
      </x:c>
      <x:c r="B9" s="50" t="inlineStr">
        <x:is>
          <x:t xml:space="preserve">上一评价年度质量得分</x:t>
        </x:is>
      </x:c>
      <x:c r="C9" s="55" t="str"/>
      <x:c r="D9" s="50" t="inlineStr">
        <x:is>
          <x:t xml:space="preserve">分</x:t>
        </x:is>
      </x:c>
      <x:c r="E9" s="50" t="inlineStr">
        <x:is>
          <x:t xml:space="preserve">仅复核企业需要</x:t>
        </x:is>
      </x:c>
    </x:row>
    <x:row r="10">
      <x:c r="A10" s="50" t="str"/>
      <x:c r="B10" s="50" t="str"/>
      <x:c r="C10" s="55" t="str"/>
      <x:c r="D10" s="50" t="str"/>
      <x:c r="E10" s="50" t="str"/>
    </x:row>
    <x:row r="11">
      <x:c r="A11" s="50" t="inlineStr">
        <x:is>
          <x:t xml:space="preserve">Q01</x:t>
        </x:is>
      </x:c>
      <x:c r="B11" s="50" t="inlineStr">
        <x:is>
          <x:t xml:space="preserve">已取得科技型或创新型中小企业资格</x:t>
        </x:is>
      </x:c>
      <x:c r="C11" s="55" t="str"/>
      <x:c r="D11" s="50" t="inlineStr">
        <x:is>
          <x:t xml:space="preserve">是/否</x:t>
        </x:is>
      </x:c>
      <x:c r="E11" s="50" t="inlineStr">
        <x:is>
          <x:t xml:space="preserve">省级专精特新硬门槛</x:t>
        </x:is>
      </x:c>
    </x:row>
    <x:row r="12">
      <x:c r="A12" s="50" t="inlineStr">
        <x:is>
          <x:t xml:space="preserve">Q02</x:t>
        </x:is>
      </x:c>
      <x:c r="B12" s="50" t="inlineStr">
        <x:is>
          <x:t xml:space="preserve">已取得专精特新中小企业资格</x:t>
        </x:is>
      </x:c>
      <x:c r="C12" s="55" t="str"/>
      <x:c r="D12" s="50" t="inlineStr">
        <x:is>
          <x:t xml:space="preserve">是/否</x:t>
        </x:is>
      </x:c>
      <x:c r="E12" s="50" t="inlineStr">
        <x:is>
          <x:t xml:space="preserve">小巨人硬门槛</x:t>
        </x:is>
      </x:c>
    </x:row>
    <x:row r="13">
      <x:c r="A13" s="50" t="inlineStr">
        <x:is>
          <x:t xml:space="preserve">Q03</x:t>
        </x:is>
      </x:c>
      <x:c r="B13" s="50" t="inlineStr">
        <x:is>
          <x:t xml:space="preserve">从事细分市场年限</x:t>
        </x:is>
      </x:c>
      <x:c r="C13" s="55" t="str"/>
      <x:c r="D13" s="50" t="inlineStr">
        <x:is>
          <x:t xml:space="preserve">年</x:t>
        </x:is>
      </x:c>
      <x:c r="E13" s="50" t="inlineStr">
        <x:is>
          <x:t xml:space="preserve">截至上年末</x:t>
        </x:is>
      </x:c>
    </x:row>
    <x:row r="14">
      <x:c r="A14" s="50" t="inlineStr">
        <x:is>
          <x:t xml:space="preserve">F01</x:t>
        </x:is>
      </x:c>
      <x:c r="B14" s="50" t="inlineStr">
        <x:is>
          <x:t xml:space="preserve">上年营业收入</x:t>
        </x:is>
      </x:c>
      <x:c r="C14" s="55" t="str"/>
      <x:c r="D14" s="50" t="inlineStr">
        <x:is>
          <x:t xml:space="preserve">万元</x:t>
        </x:is>
      </x:c>
      <x:c r="E14" s="50" t="inlineStr">
        <x:is>
          <x:t xml:space="preserve">审计口径</x:t>
        </x:is>
      </x:c>
    </x:row>
    <x:row r="15">
      <x:c r="A15" s="50" t="inlineStr">
        <x:is>
          <x:t xml:space="preserve">F02</x:t>
        </x:is>
      </x:c>
      <x:c r="B15" s="50" t="inlineStr">
        <x:is>
          <x:t xml:space="preserve">前一年度营业收入</x:t>
        </x:is>
      </x:c>
      <x:c r="C15" s="55" t="str"/>
      <x:c r="D15" s="50" t="inlineStr">
        <x:is>
          <x:t xml:space="preserve">万元</x:t>
        </x:is>
      </x:c>
      <x:c r="E15" s="50" t="inlineStr">
        <x:is>
          <x:t xml:space="preserve">审计口径</x:t>
        </x:is>
      </x:c>
    </x:row>
    <x:row r="16">
      <x:c r="A16" s="50" t="inlineStr">
        <x:is>
          <x:t xml:space="preserve">F03</x:t>
        </x:is>
      </x:c>
      <x:c r="B16" s="50" t="inlineStr">
        <x:is>
          <x:t xml:space="preserve">前两年度营业收入</x:t>
        </x:is>
      </x:c>
      <x:c r="C16" s="55" t="str"/>
      <x:c r="D16" s="50" t="inlineStr">
        <x:is>
          <x:t xml:space="preserve">万元</x:t>
        </x:is>
      </x:c>
      <x:c r="E16" s="50" t="inlineStr">
        <x:is>
          <x:t xml:space="preserve">用于复合增长率</x:t>
        </x:is>
      </x:c>
    </x:row>
    <x:row r="17">
      <x:c r="A17" s="50" t="inlineStr">
        <x:is>
          <x:t xml:space="preserve">F04</x:t>
        </x:is>
      </x:c>
      <x:c r="B17" s="50" t="inlineStr">
        <x:is>
          <x:t xml:space="preserve">上年主营业务收入</x:t>
        </x:is>
      </x:c>
      <x:c r="C17" s="55" t="str"/>
      <x:c r="D17" s="50" t="inlineStr">
        <x:is>
          <x:t xml:space="preserve">万元</x:t>
        </x:is>
      </x:c>
      <x:c r="E17" s="50" t="inlineStr">
        <x:is>
          <x:t xml:space="preserve">用于主营业务收入占比</x:t>
        </x:is>
      </x:c>
    </x:row>
    <x:row r="18">
      <x:c r="A18" s="50" t="inlineStr">
        <x:is>
          <x:t xml:space="preserve">F05</x:t>
        </x:is>
      </x:c>
      <x:c r="B18" s="50" t="inlineStr">
        <x:is>
          <x:t xml:space="preserve">主营业务收入占比</x:t>
        </x:is>
      </x:c>
      <x:c r="C18" s="74" t="str">
        <x:f>IF(OR(C14="",C17="",C14=0),"",C17/C14)</x:f>
      </x:c>
      <x:c r="D18" s="50" t="inlineStr">
        <x:is>
          <x:t xml:space="preserve">%</x:t>
        </x:is>
      </x:c>
      <x:c r="E18" s="50" t="inlineStr">
        <x:is>
          <x:t xml:space="preserve">公式：主营业务收入/营业收入</x:t>
        </x:is>
      </x:c>
    </x:row>
    <x:row r="19">
      <x:c r="A19" s="50" t="inlineStr">
        <x:is>
          <x:t xml:space="preserve">F06</x:t>
        </x:is>
      </x:c>
      <x:c r="B19" s="50" t="inlineStr">
        <x:is>
          <x:t xml:space="preserve">上年资产负债率</x:t>
        </x:is>
      </x:c>
      <x:c r="C19" s="75" t="str"/>
      <x:c r="D19" s="50" t="inlineStr">
        <x:is>
          <x:t xml:space="preserve">%</x:t>
        </x:is>
      </x:c>
      <x:c r="E19" s="50" t="inlineStr">
        <x:is>
          <x:t xml:space="preserve">审计口径</x:t>
        </x:is>
      </x:c>
    </x:row>
    <x:row r="20">
      <x:c r="A20" s="50" t="inlineStr">
        <x:is>
          <x:t xml:space="preserve">F07</x:t>
        </x:is>
      </x:c>
      <x:c r="B20" s="50" t="inlineStr">
        <x:is>
          <x:t xml:space="preserve">近两年股权融资金额</x:t>
        </x:is>
      </x:c>
      <x:c r="C20" s="55" t="str"/>
      <x:c r="D20" s="50" t="inlineStr">
        <x:is>
          <x:t xml:space="preserve">万元</x:t>
        </x:is>
      </x:c>
      <x:c r="E20" s="50" t="inlineStr">
        <x:is>
          <x:t xml:space="preserve">省级营收替代条件</x:t>
        </x:is>
      </x:c>
    </x:row>
    <x:row r="21">
      <x:c r="A21" s="50" t="inlineStr">
        <x:is>
          <x:t xml:space="preserve">F08</x:t>
        </x:is>
      </x:c>
      <x:c r="B21" s="50" t="inlineStr">
        <x:is>
          <x:t xml:space="preserve">近两年营业收入复合增长率</x:t>
        </x:is>
      </x:c>
      <x:c r="C21" s="74" t="str">
        <x:f>IF(OR(C14="",C16="",C16&lt;=0),"",(C14/C16)^(1/2)-1)</x:f>
      </x:c>
      <x:c r="D21" s="50" t="inlineStr">
        <x:is>
          <x:t xml:space="preserve">%</x:t>
        </x:is>
      </x:c>
      <x:c r="E21" s="50" t="inlineStr">
        <x:is>
          <x:t xml:space="preserve">公式：前两年度至上年的两年复合增长率</x:t>
        </x:is>
      </x:c>
    </x:row>
    <x:row r="22">
      <x:c r="A22" s="50" t="str"/>
      <x:c r="B22" s="50" t="str"/>
      <x:c r="C22" s="55" t="str"/>
      <x:c r="D22" s="50" t="str"/>
      <x:c r="E22" s="50" t="str"/>
    </x:row>
    <x:row r="23">
      <x:c r="A23" s="50" t="inlineStr">
        <x:is>
          <x:t xml:space="preserve">R01</x:t>
        </x:is>
      </x:c>
      <x:c r="B23" s="50" t="inlineStr">
        <x:is>
          <x:t xml:space="preserve">前一年度研发费用</x:t>
        </x:is>
      </x:c>
      <x:c r="C23" s="55" t="str"/>
      <x:c r="D23" s="50" t="inlineStr">
        <x:is>
          <x:t xml:space="preserve">万元</x:t>
        </x:is>
      </x:c>
      <x:c r="E23" s="50" t="inlineStr">
        <x:is>
          <x:t xml:space="preserve">省级每年≥100万元</x:t>
        </x:is>
      </x:c>
    </x:row>
    <x:row r="24">
      <x:c r="A24" s="50" t="inlineStr">
        <x:is>
          <x:t xml:space="preserve">R02</x:t>
        </x:is>
      </x:c>
      <x:c r="B24" s="50" t="inlineStr">
        <x:is>
          <x:t xml:space="preserve">上年研发费用</x:t>
        </x:is>
      </x:c>
      <x:c r="C24" s="55" t="str"/>
      <x:c r="D24" s="50" t="inlineStr">
        <x:is>
          <x:t xml:space="preserve">万元</x:t>
        </x:is>
      </x:c>
      <x:c r="E24" s="50" t="inlineStr">
        <x:is>
          <x:t xml:space="preserve">硬门槛与质量评价</x:t>
        </x:is>
      </x:c>
    </x:row>
    <x:row r="25">
      <x:c r="A25" s="50" t="inlineStr">
        <x:is>
          <x:t xml:space="preserve">R03</x:t>
        </x:is>
      </x:c>
      <x:c r="B25" s="50" t="inlineStr">
        <x:is>
          <x:t xml:space="preserve">前一年度研发费用占比</x:t>
        </x:is>
      </x:c>
      <x:c r="C25" s="75" t="str"/>
      <x:c r="D25" s="50" t="inlineStr">
        <x:is>
          <x:t xml:space="preserve">%</x:t>
        </x:is>
      </x:c>
      <x:c r="E25" s="50" t="inlineStr">
        <x:is>
          <x:t xml:space="preserve">硬门槛</x:t>
        </x:is>
      </x:c>
    </x:row>
    <x:row r="26">
      <x:c r="A26" s="50" t="inlineStr">
        <x:is>
          <x:t xml:space="preserve">R04</x:t>
        </x:is>
      </x:c>
      <x:c r="B26" s="50" t="inlineStr">
        <x:is>
          <x:t xml:space="preserve">上年研发费用占比</x:t>
        </x:is>
      </x:c>
      <x:c r="C26" s="75" t="str"/>
      <x:c r="D26" s="50" t="inlineStr">
        <x:is>
          <x:t xml:space="preserve">%</x:t>
        </x:is>
      </x:c>
      <x:c r="E26" s="50" t="inlineStr">
        <x:is>
          <x:t xml:space="preserve">硬门槛</x:t>
        </x:is>
      </x:c>
    </x:row>
    <x:row r="27">
      <x:c r="A27" s="50" t="inlineStr">
        <x:is>
          <x:t xml:space="preserve">R05</x:t>
        </x:is>
      </x:c>
      <x:c r="B27" s="50" t="inlineStr">
        <x:is>
          <x:t xml:space="preserve">近两年研发费用合计</x:t>
        </x:is>
      </x:c>
      <x:c r="C27" s="58" t="str">
        <x:f>IF(OR(C23="",C24=""),"",C23+C24)</x:f>
      </x:c>
      <x:c r="D27" s="50" t="inlineStr">
        <x:is>
          <x:t xml:space="preserve">万元</x:t>
        </x:is>
      </x:c>
      <x:c r="E27" s="50" t="inlineStr">
        <x:is>
          <x:t xml:space="preserve">公式：两年研发费用相加</x:t>
        </x:is>
      </x:c>
    </x:row>
    <x:row r="28">
      <x:c r="A28" s="50" t="inlineStr">
        <x:is>
          <x:t xml:space="preserve">R06</x:t>
        </x:is>
      </x:c>
      <x:c r="B28" s="50" t="inlineStr">
        <x:is>
          <x:t xml:space="preserve">近三年研发投入均值</x:t>
        </x:is>
      </x:c>
      <x:c r="C28" s="55" t="str"/>
      <x:c r="D28" s="50" t="inlineStr">
        <x:is>
          <x:t xml:space="preserve">万元</x:t>
        </x:is>
      </x:c>
      <x:c r="E28" s="50" t="inlineStr">
        <x:is>
          <x:t xml:space="preserve">质量评价口径</x:t>
        </x:is>
      </x:c>
    </x:row>
    <x:row r="29">
      <x:c r="A29" s="50" t="inlineStr">
        <x:is>
          <x:t xml:space="preserve">R07</x:t>
        </x:is>
      </x:c>
      <x:c r="B29" s="50" t="inlineStr">
        <x:is>
          <x:t xml:space="preserve">近三年研发投入占比均值</x:t>
        </x:is>
      </x:c>
      <x:c r="C29" s="75" t="str"/>
      <x:c r="D29" s="50" t="inlineStr">
        <x:is>
          <x:t xml:space="preserve">%</x:t>
        </x:is>
      </x:c>
      <x:c r="E29" s="50" t="inlineStr">
        <x:is>
          <x:t xml:space="preserve">质量评价口径</x:t>
        </x:is>
      </x:c>
    </x:row>
    <x:row r="30">
      <x:c r="A30" s="50" t="inlineStr">
        <x:is>
          <x:t xml:space="preserve">R08</x:t>
        </x:is>
      </x:c>
      <x:c r="B30" s="50" t="inlineStr">
        <x:is>
          <x:t xml:space="preserve">研发人员占比</x:t>
        </x:is>
      </x:c>
      <x:c r="C30" s="75" t="str"/>
      <x:c r="D30" s="50" t="inlineStr">
        <x:is>
          <x:t xml:space="preserve">%</x:t>
        </x:is>
      </x:c>
      <x:c r="E30" s="50" t="inlineStr">
        <x:is>
          <x:t xml:space="preserve">截至上年末</x:t>
        </x:is>
      </x:c>
    </x:row>
    <x:row r="31">
      <x:c r="A31" s="50" t="inlineStr">
        <x:is>
          <x:t xml:space="preserve">R09</x:t>
        </x:is>
      </x:c>
      <x:c r="B31" s="50" t="inlineStr">
        <x:is>
          <x:t xml:space="preserve">研发机构最高层级</x:t>
        </x:is>
      </x:c>
      <x:c r="C31" s="55" t="str"/>
      <x:c r="D31" s="50" t="inlineStr">
        <x:is>
          <x:t xml:space="preserve">下拉选择</x:t>
        </x:is>
      </x:c>
      <x:c r="E31" s="50" t="inlineStr">
        <x:is>
          <x:t xml:space="preserve">国家级/省部级/自建/其他</x:t>
        </x:is>
      </x:c>
    </x:row>
    <x:row r="32">
      <x:c r="A32" s="50" t="inlineStr">
        <x:is>
          <x:t xml:space="preserve">I01</x:t>
        </x:is>
      </x:c>
      <x:c r="B32" s="50" t="inlineStr">
        <x:is>
          <x:t xml:space="preserve">近三年授权发明专利数量</x:t>
        </x:is>
      </x:c>
      <x:c r="C32" s="55" t="str"/>
      <x:c r="D32" s="50" t="inlineStr">
        <x:is>
          <x:t xml:space="preserve">件</x:t>
        </x:is>
      </x:c>
      <x:c r="E32" s="50" t="inlineStr">
        <x:is>
          <x:t xml:space="preserve">质量评价加权项</x:t>
        </x:is>
      </x:c>
    </x:row>
    <x:row r="33">
      <x:c r="A33" s="50" t="inlineStr">
        <x:is>
          <x:t xml:space="preserve">I02</x:t>
        </x:is>
      </x:c>
      <x:c r="B33" s="50" t="inlineStr">
        <x:is>
          <x:t xml:space="preserve">其他年份授权发明专利数量</x:t>
        </x:is>
      </x:c>
      <x:c r="C33" s="55" t="str"/>
      <x:c r="D33" s="50" t="inlineStr">
        <x:is>
          <x:t xml:space="preserve">件</x:t>
        </x:is>
      </x:c>
      <x:c r="E33" s="50" t="inlineStr">
        <x:is>
          <x:t xml:space="preserve">质量评价加权项</x:t>
        </x:is>
      </x:c>
    </x:row>
    <x:row r="34">
      <x:c r="A34" s="50" t="inlineStr">
        <x:is>
          <x:t xml:space="preserve">I03</x:t>
        </x:is>
      </x:c>
      <x:c r="B34" s="50" t="inlineStr">
        <x:is>
          <x:t xml:space="preserve">发明专利集中度</x:t>
        </x:is>
      </x:c>
      <x:c r="C34" s="55" t="str"/>
      <x:c r="D34" s="50" t="inlineStr">
        <x:is>
          <x:t xml:space="preserve">0-1</x:t>
        </x:is>
      </x:c>
      <x:c r="E34" s="50" t="inlineStr">
        <x:is>
          <x:t xml:space="preserve">按IPC大类赫芬达尔指数计算</x:t>
        </x:is>
      </x:c>
    </x:row>
    <x:row r="35">
      <x:c r="A35" s="50" t="inlineStr">
        <x:is>
          <x:t xml:space="preserve">I04</x:t>
        </x:is>
      </x:c>
      <x:c r="B35" s="50" t="inlineStr">
        <x:is>
          <x:t xml:space="preserve">发明专利网络点度中心度参考分</x:t>
        </x:is>
      </x:c>
      <x:c r="C35" s="55" t="str"/>
      <x:c r="D35" s="50" t="inlineStr">
        <x:is>
          <x:t xml:space="preserve">0-5分</x:t>
        </x:is>
      </x:c>
      <x:c r="E35" s="50" t="inlineStr">
        <x:is>
          <x:t xml:space="preserve">平台数据不可得时由专家保守估计</x:t>
        </x:is>
      </x:c>
    </x:row>
    <x:row r="36">
      <x:c r="A36" s="50" t="inlineStr">
        <x:is>
          <x:t xml:space="preserve">I05</x:t>
        </x:is>
      </x:c>
      <x:c r="B36" s="50" t="inlineStr">
        <x:is>
          <x:t xml:space="preserve">PCT专利数量</x:t>
        </x:is>
      </x:c>
      <x:c r="C36" s="55" t="str"/>
      <x:c r="D36" s="50" t="inlineStr">
        <x:is>
          <x:t xml:space="preserve">件</x:t>
        </x:is>
      </x:c>
      <x:c r="E36" s="50" t="inlineStr">
        <x:is>
          <x:t xml:space="preserve">截至上年末</x:t>
        </x:is>
      </x:c>
    </x:row>
    <x:row r="37">
      <x:c r="A37" s="50" t="inlineStr">
        <x:is>
          <x:t xml:space="preserve">I06</x:t>
        </x:is>
      </x:c>
      <x:c r="B37" s="50" t="inlineStr">
        <x:is>
          <x:t xml:space="preserve">与主导产品相关且非转让取得的I类知识产权</x:t>
        </x:is>
      </x:c>
      <x:c r="C37" s="55" t="str"/>
      <x:c r="D37" s="50" t="inlineStr">
        <x:is>
          <x:t xml:space="preserve">项</x:t>
        </x:is>
      </x:c>
      <x:c r="E37" s="50" t="inlineStr">
        <x:is>
          <x:t xml:space="preserve">按当期管理办法口径</x:t>
        </x:is>
      </x:c>
    </x:row>
    <x:row r="38">
      <x:c r="A38" s="50" t="inlineStr">
        <x:is>
          <x:t xml:space="preserve">I07</x:t>
        </x:is>
      </x:c>
      <x:c r="B38" s="50" t="inlineStr">
        <x:is>
          <x:t xml:space="preserve">相关知识产权已应用并产生经济效益</x:t>
        </x:is>
      </x:c>
      <x:c r="C38" s="55" t="str"/>
      <x:c r="D38" s="50" t="inlineStr">
        <x:is>
          <x:t xml:space="preserve">是/否</x:t>
        </x:is>
      </x:c>
      <x:c r="E38" s="50" t="inlineStr">
        <x:is>
          <x:t xml:space="preserve">知识产权硬门槛</x:t>
        </x:is>
      </x:c>
    </x:row>
    <x:row r="39">
      <x:c r="A39" s="50" t="inlineStr">
        <x:is>
          <x:t xml:space="preserve">I08</x:t>
        </x:is>
      </x:c>
      <x:c r="B39" s="50" t="inlineStr">
        <x:is>
          <x:t xml:space="preserve">省部级科技奖励排名前三</x:t>
        </x:is>
      </x:c>
      <x:c r="C39" s="55" t="str"/>
      <x:c r="D39" s="50" t="inlineStr">
        <x:is>
          <x:t xml:space="preserve">是/否</x:t>
        </x:is>
      </x:c>
      <x:c r="E39" s="50" t="inlineStr">
        <x:is>
          <x:t xml:space="preserve">省级知识产权条件豁免</x:t>
        </x:is>
      </x:c>
    </x:row>
    <x:row r="40">
      <x:c r="A40" s="50" t="inlineStr">
        <x:is>
          <x:t xml:space="preserve">I09</x:t>
        </x:is>
      </x:c>
      <x:c r="B40" s="50" t="inlineStr">
        <x:is>
          <x:t xml:space="preserve">国家级科技奖励排名前三</x:t>
        </x:is>
      </x:c>
      <x:c r="C40" s="55" t="str"/>
      <x:c r="D40" s="50" t="inlineStr">
        <x:is>
          <x:t xml:space="preserve">是/否</x:t>
        </x:is>
      </x:c>
      <x:c r="E40" s="50" t="inlineStr">
        <x:is>
          <x:t xml:space="preserve">小巨人知识产权条件豁免</x:t>
        </x:is>
      </x:c>
    </x:row>
    <x:row r="41">
      <x:c r="A41" s="50" t="inlineStr">
        <x:is>
          <x:t xml:space="preserve">I10</x:t>
        </x:is>
      </x:c>
      <x:c r="B41" s="50" t="inlineStr">
        <x:is>
          <x:t xml:space="preserve">具有经认定的省部级研发机构</x:t>
        </x:is>
      </x:c>
      <x:c r="C41" s="55" t="str"/>
      <x:c r="D41" s="50" t="inlineStr">
        <x:is>
          <x:t xml:space="preserve">是/否</x:t>
        </x:is>
      </x:c>
      <x:c r="E41" s="50" t="inlineStr">
        <x:is>
          <x:t xml:space="preserve">省级知识产权条件豁免</x:t>
        </x:is>
      </x:c>
    </x:row>
    <x:row r="42">
      <x:c r="A42" s="50" t="str"/>
      <x:c r="B42" s="50" t="str"/>
      <x:c r="C42" s="55" t="str"/>
      <x:c r="D42" s="50" t="str"/>
      <x:c r="E42" s="50" t="str"/>
    </x:row>
    <x:row r="43">
      <x:c r="A43" s="50" t="inlineStr">
        <x:is>
          <x:t xml:space="preserve">M01</x:t>
        </x:is>
      </x:c>
      <x:c r="B43" s="50" t="inlineStr">
        <x:is>
          <x:t xml:space="preserve">细分市场占有率</x:t>
        </x:is>
      </x:c>
      <x:c r="C43" s="75" t="str"/>
      <x:c r="D43" s="50" t="inlineStr">
        <x:is>
          <x:t xml:space="preserve">%</x:t>
        </x:is>
      </x:c>
      <x:c r="E43" s="50" t="inlineStr">
        <x:is>
          <x:t xml:space="preserve">小巨人：≥10%或国内前三</x:t>
        </x:is>
      </x:c>
    </x:row>
    <x:row r="44">
      <x:c r="A44" s="50" t="inlineStr">
        <x:is>
          <x:t xml:space="preserve">M02</x:t>
        </x:is>
      </x:c>
      <x:c r="B44" s="50" t="inlineStr">
        <x:is>
          <x:t xml:space="preserve">国内细分市场排名</x:t>
        </x:is>
      </x:c>
      <x:c r="C44" s="55" t="str"/>
      <x:c r="D44" s="50" t="inlineStr">
        <x:is>
          <x:t xml:space="preserve">名</x:t>
        </x:is>
      </x:c>
      <x:c r="E44" s="50" t="inlineStr">
        <x:is>
          <x:t xml:space="preserve">近三年均值更稳妥</x:t>
        </x:is>
      </x:c>
    </x:row>
    <x:row r="45">
      <x:c r="A45" s="50" t="inlineStr">
        <x:is>
          <x:t xml:space="preserve">M03</x:t>
        </x:is>
      </x:c>
      <x:c r="B45" s="50" t="inlineStr">
        <x:is>
          <x:t xml:space="preserve">省级市场地位与知名度满足</x:t>
        </x:is>
      </x:c>
      <x:c r="C45" s="55" t="str"/>
      <x:c r="D45" s="50" t="inlineStr">
        <x:is>
          <x:t xml:space="preserve">是/否</x:t>
        </x:is>
      </x:c>
      <x:c r="E45" s="50" t="inlineStr">
        <x:is>
          <x:t xml:space="preserve">省级定性门槛</x:t>
        </x:is>
      </x:c>
    </x:row>
    <x:row r="46">
      <x:c r="A46" s="50" t="inlineStr">
        <x:is>
          <x:t xml:space="preserve">M04</x:t>
        </x:is>
      </x:c>
      <x:c r="B46" s="50" t="inlineStr">
        <x:is>
          <x:t xml:space="preserve">位于重点产业链关键环节并发挥作用</x:t>
        </x:is>
      </x:c>
      <x:c r="C46" s="55" t="str"/>
      <x:c r="D46" s="50" t="inlineStr">
        <x:is>
          <x:t xml:space="preserve">是/否</x:t>
        </x:is>
      </x:c>
      <x:c r="E46" s="50" t="inlineStr">
        <x:is>
          <x:t xml:space="preserve">小巨人产业链门槛</x:t>
        </x:is>
      </x:c>
    </x:row>
    <x:row r="47">
      <x:c r="A47" s="50" t="inlineStr">
        <x:is>
          <x:t xml:space="preserve">S01</x:t>
        </x:is>
      </x:c>
      <x:c r="B47" s="50" t="inlineStr">
        <x:is>
          <x:t xml:space="preserve">主持国际标准数量</x:t>
        </x:is>
      </x:c>
      <x:c r="C47" s="55" t="str"/>
      <x:c r="D47" s="50" t="inlineStr">
        <x:is>
          <x:t xml:space="preserve">项</x:t>
        </x:is>
      </x:c>
      <x:c r="E47" s="50" t="inlineStr">
        <x:is>
          <x:t xml:space="preserve">权重5</x:t>
        </x:is>
      </x:c>
    </x:row>
    <x:row r="48">
      <x:c r="A48" s="50" t="inlineStr">
        <x:is>
          <x:t xml:space="preserve">S02</x:t>
        </x:is>
      </x:c>
      <x:c r="B48" s="50" t="inlineStr">
        <x:is>
          <x:t xml:space="preserve">主持国家或行业标准数量</x:t>
        </x:is>
      </x:c>
      <x:c r="C48" s="55" t="str"/>
      <x:c r="D48" s="50" t="inlineStr">
        <x:is>
          <x:t xml:space="preserve">项</x:t>
        </x:is>
      </x:c>
      <x:c r="E48" s="50" t="inlineStr">
        <x:is>
          <x:t xml:space="preserve">权重3</x:t>
        </x:is>
      </x:c>
    </x:row>
    <x:row r="49">
      <x:c r="A49" s="50" t="inlineStr">
        <x:is>
          <x:t xml:space="preserve">S03</x:t>
        </x:is>
      </x:c>
      <x:c r="B49" s="50" t="inlineStr">
        <x:is>
          <x:t xml:space="preserve">参与国际标准数量</x:t>
        </x:is>
      </x:c>
      <x:c r="C49" s="55" t="str"/>
      <x:c r="D49" s="50" t="inlineStr">
        <x:is>
          <x:t xml:space="preserve">项</x:t>
        </x:is>
      </x:c>
      <x:c r="E49" s="50" t="inlineStr">
        <x:is>
          <x:t xml:space="preserve">权重2</x:t>
        </x:is>
      </x:c>
    </x:row>
    <x:row r="50">
      <x:c r="A50" s="50" t="inlineStr">
        <x:is>
          <x:t xml:space="preserve">S04</x:t>
        </x:is>
      </x:c>
      <x:c r="B50" s="50" t="inlineStr">
        <x:is>
          <x:t xml:space="preserve">参与国家或行业标准数量</x:t>
        </x:is>
      </x:c>
      <x:c r="C50" s="55" t="str"/>
      <x:c r="D50" s="50" t="inlineStr">
        <x:is>
          <x:t xml:space="preserve">项</x:t>
        </x:is>
      </x:c>
      <x:c r="E50" s="50" t="inlineStr">
        <x:is>
          <x:t xml:space="preserve">权重1</x:t>
        </x:is>
      </x:c>
    </x:row>
    <x:row r="51">
      <x:c r="A51" s="50" t="inlineStr">
        <x:is>
          <x:t xml:space="preserve">Q04</x:t>
        </x:is>
      </x:c>
      <x:c r="B51" s="50" t="inlineStr">
        <x:is>
          <x:t xml:space="preserve">质量管理最高层级</x:t>
        </x:is>
      </x:c>
      <x:c r="C51" s="55" t="str"/>
      <x:c r="D51" s="50" t="inlineStr">
        <x:is>
          <x:t xml:space="preserve">下拉选择</x:t>
        </x:is>
      </x:c>
      <x:c r="E51" s="50" t="inlineStr">
        <x:is>
          <x:t xml:space="preserve">按官方附注原始分值取最高</x:t>
        </x:is>
      </x:c>
    </x:row>
    <x:row r="52">
      <x:c r="A52" s="50" t="inlineStr">
        <x:is>
          <x:t xml:space="preserve">Q05</x:t>
        </x:is>
      </x:c>
      <x:c r="B52" s="50" t="inlineStr">
        <x:is>
          <x:t xml:space="preserve">产品获得国内外权威机构认证</x:t>
        </x:is>
      </x:c>
      <x:c r="C52" s="55" t="str"/>
      <x:c r="D52" s="50" t="inlineStr">
        <x:is>
          <x:t xml:space="preserve">是/否</x:t>
        </x:is>
      </x:c>
      <x:c r="E52" s="50" t="inlineStr">
        <x:is>
          <x:t xml:space="preserve">与质量体系共享质量控制10分</x:t>
        </x:is>
      </x:c>
    </x:row>
    <x:row r="53">
      <x:c r="A53" s="50" t="inlineStr">
        <x:is>
          <x:t xml:space="preserve">D01</x:t>
        </x:is>
      </x:c>
      <x:c r="B53" s="50" t="inlineStr">
        <x:is>
          <x:t xml:space="preserve">数字化转型评测得分</x:t>
        </x:is>
      </x:c>
      <x:c r="C53" s="55" t="str"/>
      <x:c r="D53" s="50" t="inlineStr">
        <x:is>
          <x:t xml:space="preserve">0-100</x:t>
        </x:is>
      </x:c>
      <x:c r="E53" s="50" t="inlineStr">
        <x:is>
          <x:t xml:space="preserve">无称号时与行业均值比较</x:t>
        </x:is>
      </x:c>
    </x:row>
    <x:row r="54">
      <x:c r="A54" s="50" t="inlineStr">
        <x:is>
          <x:t xml:space="preserve">D02</x:t>
        </x:is>
      </x:c>
      <x:c r="B54" s="50" t="inlineStr">
        <x:is>
          <x:t xml:space="preserve">同行业数字化转型平均分</x:t>
        </x:is>
      </x:c>
      <x:c r="C54" s="55" t="str"/>
      <x:c r="D54" s="50" t="inlineStr">
        <x:is>
          <x:t xml:space="preserve">0-100</x:t>
        </x:is>
      </x:c>
      <x:c r="E54" s="50" t="inlineStr">
        <x:is>
          <x:t xml:space="preserve">同口径对标</x:t>
        </x:is>
      </x:c>
    </x:row>
    <x:row r="55">
      <x:c r="A55" s="50" t="inlineStr">
        <x:is>
          <x:t xml:space="preserve">D03</x:t>
        </x:is>
      </x:c>
      <x:c r="B55" s="50" t="inlineStr">
        <x:is>
          <x:t xml:space="preserve">获得部级智能工厂/5G工厂等或两化融合满分条件</x:t>
        </x:is>
      </x:c>
      <x:c r="C55" s="55" t="str"/>
      <x:c r="D55" s="50" t="inlineStr">
        <x:is>
          <x:t xml:space="preserve">是/否</x:t>
        </x:is>
      </x:c>
      <x:c r="E55" s="50" t="inlineStr">
        <x:is>
          <x:t xml:space="preserve">满足即数字化项满分</x:t>
        </x:is>
      </x:c>
    </x:row>
    <x:row r="56">
      <x:c r="A56" s="50" t="inlineStr">
        <x:is>
          <x:t xml:space="preserve">G01</x:t>
        </x:is>
      </x:c>
      <x:c r="B56" s="50" t="inlineStr">
        <x:is>
          <x:t xml:space="preserve">获得绿色化标杆称号或符合规范条件</x:t>
        </x:is>
      </x:c>
      <x:c r="C56" s="55" t="str"/>
      <x:c r="D56" s="50" t="inlineStr">
        <x:is>
          <x:t xml:space="preserve">是/否</x:t>
        </x:is>
      </x:c>
      <x:c r="E56" s="50" t="inlineStr">
        <x:is>
          <x:t xml:space="preserve">官方附注明确加0.5分</x:t>
        </x:is>
      </x:c>
    </x:row>
    <x:row r="57">
      <x:c r="A57" s="50" t="str"/>
      <x:c r="B57" s="50" t="str"/>
      <x:c r="C57" s="55" t="str"/>
      <x:c r="D57" s="50" t="str"/>
      <x:c r="E57" s="50" t="str"/>
    </x:row>
    <x:row r="58">
      <x:c r="A58" s="50" t="inlineStr">
        <x:is>
          <x:t xml:space="preserve">E01</x:t>
        </x:is>
      </x:c>
      <x:c r="B58" s="50" t="inlineStr">
        <x:is>
          <x:t xml:space="preserve">年平均从业人数</x:t>
        </x:is>
      </x:c>
      <x:c r="C58" s="55" t="str"/>
      <x:c r="D58" s="50" t="inlineStr">
        <x:is>
          <x:t xml:space="preserve">人</x:t>
        </x:is>
      </x:c>
      <x:c r="E58" s="50" t="inlineStr">
        <x:is>
          <x:t xml:space="preserve">用于人均营业收入复核</x:t>
        </x:is>
      </x:c>
    </x:row>
    <x:row r="59">
      <x:c r="A59" s="50" t="inlineStr">
        <x:is>
          <x:t xml:space="preserve">E02</x:t>
        </x:is>
      </x:c>
      <x:c r="B59" s="50" t="inlineStr">
        <x:is>
          <x:t xml:space="preserve">企业近三年人均营业收入均值</x:t>
        </x:is>
      </x:c>
      <x:c r="C59" s="55" t="str"/>
      <x:c r="D59" s="50" t="inlineStr">
        <x:is>
          <x:t xml:space="preserve">万元/人</x:t>
        </x:is>
      </x:c>
      <x:c r="E59" s="50" t="inlineStr">
        <x:is>
          <x:t xml:space="preserve">建议直接使用三年均值</x:t>
        </x:is>
      </x:c>
    </x:row>
    <x:row r="60">
      <x:c r="A60" s="50" t="inlineStr">
        <x:is>
          <x:t xml:space="preserve">E03</x:t>
        </x:is>
      </x:c>
      <x:c r="B60" s="50" t="inlineStr">
        <x:is>
          <x:t xml:space="preserve">同行业近三年人均营业收入均值</x:t>
        </x:is>
      </x:c>
      <x:c r="C60" s="55" t="str"/>
      <x:c r="D60" s="50" t="inlineStr">
        <x:is>
          <x:t xml:space="preserve">万元/人</x:t>
        </x:is>
      </x:c>
      <x:c r="E60" s="50" t="inlineStr">
        <x:is>
          <x:t xml:space="preserve">同口径专精特新企业</x:t>
        </x:is>
      </x:c>
    </x:row>
    <x:row r="61">
      <x:c r="A61" s="50" t="inlineStr">
        <x:is>
          <x:t xml:space="preserve">E04</x:t>
        </x:is>
      </x:c>
      <x:c r="B61" s="50" t="inlineStr">
        <x:is>
          <x:t xml:space="preserve">企业近三年净资产收益率均值</x:t>
        </x:is>
      </x:c>
      <x:c r="C61" s="75" t="str"/>
      <x:c r="D61" s="50" t="inlineStr">
        <x:is>
          <x:t xml:space="preserve">%</x:t>
        </x:is>
      </x:c>
      <x:c r="E61" s="50" t="inlineStr">
        <x:is>
          <x:t xml:space="preserve">净利润/期末净资产</x:t>
        </x:is>
      </x:c>
    </x:row>
    <x:row r="62">
      <x:c r="A62" s="50" t="inlineStr">
        <x:is>
          <x:t xml:space="preserve">E05</x:t>
        </x:is>
      </x:c>
      <x:c r="B62" s="50" t="inlineStr">
        <x:is>
          <x:t xml:space="preserve">同行业近三年净资产收益率均值</x:t>
        </x:is>
      </x:c>
      <x:c r="C62" s="75" t="str"/>
      <x:c r="D62" s="50" t="inlineStr">
        <x:is>
          <x:t xml:space="preserve">%</x:t>
        </x:is>
      </x:c>
      <x:c r="E62" s="50" t="inlineStr">
        <x:is>
          <x:t xml:space="preserve">同口径专精特新企业</x:t>
        </x:is>
      </x:c>
    </x:row>
    <x:row r="63">
      <x:c r="A63" s="50" t="inlineStr">
        <x:is>
          <x:t xml:space="preserve">E06</x:t>
        </x:is>
      </x:c>
      <x:c r="B63" s="50" t="inlineStr">
        <x:is>
          <x:t xml:space="preserve">企业近三年成本利润率均值</x:t>
        </x:is>
      </x:c>
      <x:c r="C63" s="75" t="str"/>
      <x:c r="D63" s="50" t="inlineStr">
        <x:is>
          <x:t xml:space="preserve">%</x:t>
        </x:is>
      </x:c>
      <x:c r="E63" s="50" t="inlineStr">
        <x:is>
          <x:t xml:space="preserve">利润总额/产品销售成本</x:t>
        </x:is>
      </x:c>
    </x:row>
    <x:row r="64">
      <x:c r="A64" s="50" t="inlineStr">
        <x:is>
          <x:t xml:space="preserve">E07</x:t>
        </x:is>
      </x:c>
      <x:c r="B64" s="50" t="inlineStr">
        <x:is>
          <x:t xml:space="preserve">同行业近三年成本利润率均值</x:t>
        </x:is>
      </x:c>
      <x:c r="C64" s="75" t="str"/>
      <x:c r="D64" s="50" t="inlineStr">
        <x:is>
          <x:t xml:space="preserve">%</x:t>
        </x:is>
      </x:c>
      <x:c r="E64" s="50" t="inlineStr">
        <x:is>
          <x:t xml:space="preserve">同口径专精特新企业</x:t>
        </x:is>
      </x:c>
    </x:row>
    <x:row r="65">
      <x:c r="A65" s="50" t="inlineStr">
        <x:is>
          <x:t xml:space="preserve">E08</x:t>
        </x:is>
      </x:c>
      <x:c r="B65" s="50" t="inlineStr">
        <x:is>
          <x:t xml:space="preserve">企业近三年销售和管理费用率</x:t>
        </x:is>
      </x:c>
      <x:c r="C65" s="75" t="str"/>
      <x:c r="D65" s="50" t="inlineStr">
        <x:is>
          <x:t xml:space="preserve">%</x:t>
        </x:is>
      </x:c>
      <x:c r="E65" s="50" t="inlineStr">
        <x:is>
          <x:t xml:space="preserve">逆向指标</x:t>
        </x:is>
      </x:c>
    </x:row>
    <x:row r="66">
      <x:c r="A66" s="50" t="inlineStr">
        <x:is>
          <x:t xml:space="preserve">E09</x:t>
        </x:is>
      </x:c>
      <x:c r="B66" s="50" t="inlineStr">
        <x:is>
          <x:t xml:space="preserve">同行业近三年销售和管理费用率</x:t>
        </x:is>
      </x:c>
      <x:c r="C66" s="75" t="str"/>
      <x:c r="D66" s="50" t="inlineStr">
        <x:is>
          <x:t xml:space="preserve">%</x:t>
        </x:is>
      </x:c>
      <x:c r="E66" s="50" t="inlineStr">
        <x:is>
          <x:t xml:space="preserve">逆向指标</x:t>
        </x:is>
      </x:c>
    </x:row>
    <x:row r="67">
      <x:c r="A67" s="50" t="inlineStr">
        <x:is>
          <x:t xml:space="preserve">E10</x:t>
        </x:is>
      </x:c>
      <x:c r="B67" s="50" t="inlineStr">
        <x:is>
          <x:t xml:space="preserve">企业近三年毛利率均值</x:t>
        </x:is>
      </x:c>
      <x:c r="C67" s="75" t="str"/>
      <x:c r="D67" s="50" t="inlineStr">
        <x:is>
          <x:t xml:space="preserve">%</x:t>
        </x:is>
      </x:c>
      <x:c r="E67" s="50" t="inlineStr">
        <x:is>
          <x:t xml:space="preserve">正向指标</x:t>
        </x:is>
      </x:c>
    </x:row>
    <x:row r="68">
      <x:c r="A68" s="50" t="inlineStr">
        <x:is>
          <x:t xml:space="preserve">E11</x:t>
        </x:is>
      </x:c>
      <x:c r="B68" s="50" t="inlineStr">
        <x:is>
          <x:t xml:space="preserve">同行业近三年毛利率均值</x:t>
        </x:is>
      </x:c>
      <x:c r="C68" s="75" t="str"/>
      <x:c r="D68" s="50" t="inlineStr">
        <x:is>
          <x:t xml:space="preserve">%</x:t>
        </x:is>
      </x:c>
      <x:c r="E68" s="50" t="inlineStr">
        <x:is>
          <x:t xml:space="preserve">正向指标</x:t>
        </x:is>
      </x:c>
    </x:row>
    <x:row r="69">
      <x:c r="A69" s="50" t="inlineStr">
        <x:is>
          <x:t xml:space="preserve">E12</x:t>
        </x:is>
      </x:c>
      <x:c r="B69" s="50" t="inlineStr">
        <x:is>
          <x:t xml:space="preserve">企业近两年营业收入增长率均值</x:t>
        </x:is>
      </x:c>
      <x:c r="C69" s="75" t="str"/>
      <x:c r="D69" s="50" t="inlineStr">
        <x:is>
          <x:t xml:space="preserve">%</x:t>
        </x:is>
      </x:c>
      <x:c r="E69" s="50" t="inlineStr">
        <x:is>
          <x:t xml:space="preserve">正向指标</x:t>
        </x:is>
      </x:c>
    </x:row>
    <x:row r="70">
      <x:c r="A70" s="50" t="inlineStr">
        <x:is>
          <x:t xml:space="preserve">E13</x:t>
        </x:is>
      </x:c>
      <x:c r="B70" s="50" t="inlineStr">
        <x:is>
          <x:t xml:space="preserve">同行业近两年营业收入增长率均值</x:t>
        </x:is>
      </x:c>
      <x:c r="C70" s="75" t="str"/>
      <x:c r="D70" s="50" t="inlineStr">
        <x:is>
          <x:t xml:space="preserve">%</x:t>
        </x:is>
      </x:c>
      <x:c r="E70" s="50" t="inlineStr">
        <x:is>
          <x:t xml:space="preserve">正向指标</x:t>
        </x:is>
      </x:c>
    </x:row>
    <x:row r="71">
      <x:c r="A71" s="50" t="inlineStr">
        <x:is>
          <x:t xml:space="preserve">E14</x:t>
        </x:is>
      </x:c>
      <x:c r="B71" s="50" t="inlineStr">
        <x:is>
          <x:t xml:space="preserve">企业近两年利润增长率均值</x:t>
        </x:is>
      </x:c>
      <x:c r="C71" s="75" t="str"/>
      <x:c r="D71" s="50" t="inlineStr">
        <x:is>
          <x:t xml:space="preserve">%</x:t>
        </x:is>
      </x:c>
      <x:c r="E71" s="50" t="inlineStr">
        <x:is>
          <x:t xml:space="preserve">正向指标</x:t>
        </x:is>
      </x:c>
    </x:row>
    <x:row r="72">
      <x:c r="A72" s="50" t="inlineStr">
        <x:is>
          <x:t xml:space="preserve">E15</x:t>
        </x:is>
      </x:c>
      <x:c r="B72" s="50" t="inlineStr">
        <x:is>
          <x:t xml:space="preserve">同行业近两年利润增长率均值</x:t>
        </x:is>
      </x:c>
      <x:c r="C72" s="75" t="str"/>
      <x:c r="D72" s="50" t="inlineStr">
        <x:is>
          <x:t xml:space="preserve">%</x:t>
        </x:is>
      </x:c>
      <x:c r="E72" s="50" t="inlineStr">
        <x:is>
          <x:t xml:space="preserve">正向指标</x:t>
        </x:is>
      </x:c>
    </x:row>
    <x:row r="73">
      <x:c r="A73" s="50" t="inlineStr">
        <x:is>
          <x:t xml:space="preserve">E16</x:t>
        </x:is>
      </x:c>
      <x:c r="B73" s="50" t="inlineStr">
        <x:is>
          <x:t xml:space="preserve">企业近两年净资产增速均值</x:t>
        </x:is>
      </x:c>
      <x:c r="C73" s="75" t="str"/>
      <x:c r="D73" s="50" t="inlineStr">
        <x:is>
          <x:t xml:space="preserve">%</x:t>
        </x:is>
      </x:c>
      <x:c r="E73" s="50" t="inlineStr">
        <x:is>
          <x:t xml:space="preserve">正向指标</x:t>
        </x:is>
      </x:c>
    </x:row>
    <x:row r="74">
      <x:c r="A74" s="50" t="inlineStr">
        <x:is>
          <x:t xml:space="preserve">E17</x:t>
        </x:is>
      </x:c>
      <x:c r="B74" s="50" t="inlineStr">
        <x:is>
          <x:t xml:space="preserve">同行业近两年净资产增速均值</x:t>
        </x:is>
      </x:c>
      <x:c r="C74" s="75" t="str"/>
      <x:c r="D74" s="50" t="inlineStr">
        <x:is>
          <x:t xml:space="preserve">%</x:t>
        </x:is>
      </x:c>
      <x:c r="E74" s="50" t="inlineStr">
        <x:is>
          <x:t xml:space="preserve">正向指标</x:t>
        </x:is>
      </x:c>
    </x:row>
  </x:sheetData>
  <x:mergeCells>
    <x:mergeCell ref="A2:E2"/>
    <x:mergeCell ref="A1:E1"/>
  </x:mergeCells>
  <x:dataValidations count="15">
    <x:dataValidation type="list" allowBlank="0" showDropDown="0" showInputMessage="0" showErrorMessage="0" sqref="C5">
      <x:formula1>"专精特新中小企业,专精特新“小巨人”"</x:formula1>
    </x:dataValidation>
    <x:dataValidation type="list" allowBlank="0" showDropDown="0" showInputMessage="0" showErrorMessage="0" sqref="C7">
      <x:formula1>"新申报,复核"</x:formula1>
    </x:dataValidation>
    <x:dataValidation type="list" allowBlank="0" showDropDown="0" showInputMessage="0" showErrorMessage="0" sqref="C11">
      <x:formula1>"是,否"</x:formula1>
    </x:dataValidation>
    <x:dataValidation type="list" allowBlank="0" showDropDown="0" showInputMessage="0" showErrorMessage="0" sqref="C12">
      <x:formula1>"是,否"</x:formula1>
    </x:dataValidation>
    <x:dataValidation type="list" allowBlank="0" showDropDown="0" showInputMessage="0" showErrorMessage="0" sqref="C38">
      <x:formula1>"是,否"</x:formula1>
    </x:dataValidation>
    <x:dataValidation type="list" allowBlank="0" showDropDown="0" showInputMessage="0" showErrorMessage="0" sqref="C39">
      <x:formula1>"是,否"</x:formula1>
    </x:dataValidation>
    <x:dataValidation type="list" allowBlank="0" showDropDown="0" showInputMessage="0" showErrorMessage="0" sqref="C40">
      <x:formula1>"是,否"</x:formula1>
    </x:dataValidation>
    <x:dataValidation type="list" allowBlank="0" showDropDown="0" showInputMessage="0" showErrorMessage="0" sqref="C41">
      <x:formula1>"是,否"</x:formula1>
    </x:dataValidation>
    <x:dataValidation type="list" allowBlank="0" showDropDown="0" showInputMessage="0" showErrorMessage="0" sqref="C45">
      <x:formula1>"是,否"</x:formula1>
    </x:dataValidation>
    <x:dataValidation type="list" allowBlank="0" showDropDown="0" showInputMessage="0" showErrorMessage="0" sqref="C46">
      <x:formula1>"是,否"</x:formula1>
    </x:dataValidation>
    <x:dataValidation type="list" allowBlank="0" showDropDown="0" showInputMessage="0" showErrorMessage="0" sqref="C52">
      <x:formula1>"是,否"</x:formula1>
    </x:dataValidation>
    <x:dataValidation type="list" allowBlank="0" showDropDown="0" showInputMessage="0" showErrorMessage="0" sqref="C55">
      <x:formula1>"是,否"</x:formula1>
    </x:dataValidation>
    <x:dataValidation type="list" allowBlank="0" showDropDown="0" showInputMessage="0" showErrorMessage="0" sqref="C56">
      <x:formula1>"是,否"</x:formula1>
    </x:dataValidation>
    <x:dataValidation type="list" allowBlank="0" showDropDown="0" showInputMessage="0" showErrorMessage="0" sqref="C31">
      <x:formula1>"国家级,省部级,自建,其他"</x:formula1>
    </x:dataValidation>
    <x:dataValidation type="list" allowBlank="0" showDropDown="0" showInputMessage="0" showErrorMessage="0" sqref="C51">
      <x:formula1>"国家级质量奖或卓越级,省级质量奖或预防级,保证级,ISO9001等或检验级,其他"</x:formula1>
    </x:dataValidation>
  </x:dataValidations>
  <x:pageMargins left="0.7" right="0.7" top="0.75" bottom="0.75" header="0.3" footer="0.3"/>
  <x:drawing xmlns:r="http://schemas.openxmlformats.org/officeDocument/2006/relationships" r:id="R57444f51475949a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8" customWidth="1"/>
    <x:col min="3" max="3" width="43" customWidth="1"/>
    <x:col min="4" max="4" width="27" customWidth="1"/>
    <x:col min="5" max="5" width="25" customWidth="1"/>
    <x:col min="6" max="6" width="13" customWidth="1"/>
    <x:col min="7" max="7" width="37" customWidth="1"/>
  </x:cols>
  <x:sheetData>
    <x:row r="1" ht="34" customHeight="1">
      <x:c r="A1" s="46" t="inlineStr">
        <x:is>
          <x:t xml:space="preserve">硬门槛核验</x:t>
        </x:is>
      </x:c>
    </x:row>
    <x:row r="2" ht="32" customHeight="1">
      <x:c r="A2" s="52" t="inlineStr">
        <x:is>
          <x:t xml:space="preserve">硬门槛与质量评价分必须同时满足。结果为“待核验”时，不应形成达标结论。</x:t>
        </x:is>
      </x:c>
    </x:row>
    <x:row r="3">
      <x:c r="A3" s="53" t="n"/>
      <x:c r="B3" s="53" t="n"/>
      <x:c r="C3" s="53" t="n"/>
      <x:c r="D3" s="53" t="n"/>
      <x:c r="E3" s="53" t="n"/>
      <x:c r="F3" s="53" t="n"/>
      <x:c r="G3" s="53" t="n"/>
    </x:row>
    <x:row r="4">
      <x:c r="A4" s="49" t="inlineStr">
        <x:is>
          <x:t xml:space="preserve">项目</x:t>
        </x:is>
      </x:c>
      <x:c r="B4" s="49" t="inlineStr">
        <x:is>
          <x:t xml:space="preserve">序号</x:t>
        </x:is>
      </x:c>
      <x:c r="C4" s="49" t="inlineStr">
        <x:is>
          <x:t xml:space="preserve">硬门槛</x:t>
        </x:is>
      </x:c>
      <x:c r="D4" s="49" t="inlineStr">
        <x:is>
          <x:t xml:space="preserve">当前值</x:t>
        </x:is>
      </x:c>
      <x:c r="E4" s="49" t="inlineStr">
        <x:is>
          <x:t xml:space="preserve">标准</x:t>
        </x:is>
      </x:c>
      <x:c r="F4" s="49" t="inlineStr">
        <x:is>
          <x:t xml:space="preserve">结果</x:t>
        </x:is>
      </x:c>
      <x:c r="G4" s="49" t="inlineStr">
        <x:is>
          <x:t xml:space="preserve">补救重点</x:t>
        </x:is>
      </x:c>
    </x:row>
    <x:row r="5">
      <x:c r="A5" s="59" t="inlineStr">
        <x:is>
          <x:t xml:space="preserve">专精特新中小企业</x:t>
        </x:is>
      </x:c>
      <x:c r="B5" s="59" t="n">
        <x:v>1</x:v>
      </x:c>
      <x:c r="C5" s="59" t="inlineStr">
        <x:is>
          <x:t xml:space="preserve">科技型或创新型中小企业</x:t>
        </x:is>
      </x:c>
      <x:c r="D5" s="76" t="str">
        <x:f>IF('客户数据录入'!C11="","",'客户数据录入'!C11)</x:f>
      </x:c>
      <x:c r="E5" s="59" t="inlineStr">
        <x:is>
          <x:t xml:space="preserve">是</x:t>
        </x:is>
      </x:c>
      <x:c r="F5" s="59" t="str">
        <x:f>IF(D5="","待核验",IF(D5="是","通过","不通过"))</x:f>
        <x:v>待核验</x:v>
      </x:c>
      <x:c r="G5" s="59" t="inlineStr">
        <x:is>
          <x:t xml:space="preserve">先完成科技型或创新型中小企业评价</x:t>
        </x:is>
      </x:c>
    </x:row>
    <x:row r="6">
      <x:c r="A6" s="59" t="inlineStr">
        <x:is>
          <x:t xml:space="preserve">专精特新中小企业</x:t>
        </x:is>
      </x:c>
      <x:c r="B6" s="59" t="n">
        <x:v>2</x:v>
      </x:c>
      <x:c r="C6" s="59" t="inlineStr">
        <x:is>
          <x:t xml:space="preserve">从事细分市场≥3年</x:t>
        </x:is>
      </x:c>
      <x:c r="D6" s="76" t="str">
        <x:f>IF('客户数据录入'!C13="","",'客户数据录入'!C13)</x:f>
      </x:c>
      <x:c r="E6" s="59" t="inlineStr">
        <x:is>
          <x:t xml:space="preserve">≥3年</x:t>
        </x:is>
      </x:c>
      <x:c r="F6" s="59" t="str">
        <x:f>IF(D6="","待核验",IF(D6&gt;=3,"通过","不通过"))</x:f>
        <x:v>待核验</x:v>
      </x:c>
      <x:c r="G6" s="59" t="inlineStr">
        <x:is>
          <x:t xml:space="preserve">短期不可补，确认起始时间证据</x:t>
        </x:is>
      </x:c>
    </x:row>
    <x:row r="7">
      <x:c r="A7" s="59" t="inlineStr">
        <x:is>
          <x:t xml:space="preserve">专精特新中小企业</x:t>
        </x:is>
      </x:c>
      <x:c r="B7" s="59" t="n">
        <x:v>3</x:v>
      </x:c>
      <x:c r="C7" s="59" t="inlineStr">
        <x:is>
          <x:t xml:space="preserve">营收≥1500万元，或近两年股权融资≥2000万元</x:t>
        </x:is>
      </x:c>
      <x:c r="D7" s="76" t="str">
        <x:f>"营收"&amp;'客户数据录入'!C14&amp;"；融资"&amp;'客户数据录入'!C20</x:f>
        <x:v>营收；融资</x:v>
      </x:c>
      <x:c r="E7" s="59" t="inlineStr">
        <x:is>
          <x:t xml:space="preserve">二选一</x:t>
        </x:is>
      </x:c>
      <x:c r="F7" s="59" t="str">
        <x:f>IF(AND('客户数据录入'!C14="",'客户数据录入'!C20=""),"待核验",IF(OR('客户数据录入'!C14&gt;=1500,'客户数据录入'!C20&gt;=2000),"通过","不通过"))</x:f>
        <x:v>待核验</x:v>
      </x:c>
      <x:c r="G7" s="59" t="inlineStr">
        <x:is>
          <x:t xml:space="preserve">优先核验融资口径，不足则等待营收达标</x:t>
        </x:is>
      </x:c>
    </x:row>
    <x:row r="8">
      <x:c r="A8" s="59" t="inlineStr">
        <x:is>
          <x:t xml:space="preserve">专精特新中小企业</x:t>
        </x:is>
      </x:c>
      <x:c r="B8" s="59" t="n">
        <x:v>4</x:v>
      </x:c>
      <x:c r="C8" s="59" t="inlineStr">
        <x:is>
          <x:t xml:space="preserve">主营业务收入占比≥80%</x:t>
        </x:is>
      </x:c>
      <x:c r="D8" s="77" t="str">
        <x:f>IF('客户数据录入'!C18="","",'客户数据录入'!C18)</x:f>
      </x:c>
      <x:c r="E8" s="59" t="inlineStr">
        <x:is>
          <x:t xml:space="preserve">≥80%</x:t>
        </x:is>
      </x:c>
      <x:c r="F8" s="59" t="str">
        <x:f>IF(D8="","待核验",IF(D8&gt;=0.8,"通过","不通过"))</x:f>
        <x:v>待核验</x:v>
      </x:c>
      <x:c r="G8" s="59" t="inlineStr">
        <x:is>
          <x:t xml:space="preserve">收敛主业边界，剔除非主业收入</x:t>
        </x:is>
      </x:c>
    </x:row>
    <x:row r="9">
      <x:c r="A9" s="59" t="inlineStr">
        <x:is>
          <x:t xml:space="preserve">专精特新中小企业</x:t>
        </x:is>
      </x:c>
      <x:c r="B9" s="59" t="n">
        <x:v>5</x:v>
      </x:c>
      <x:c r="C9" s="59" t="inlineStr">
        <x:is>
          <x:t xml:space="preserve">资产负债率≤80%</x:t>
        </x:is>
      </x:c>
      <x:c r="D9" s="77" t="str">
        <x:f>IF('客户数据录入'!C19="","",'客户数据录入'!C19)</x:f>
      </x:c>
      <x:c r="E9" s="59" t="inlineStr">
        <x:is>
          <x:t xml:space="preserve">≤80%</x:t>
        </x:is>
      </x:c>
      <x:c r="F9" s="59" t="str">
        <x:f>IF(D9="","待核验",IF(D9&lt;=0.8,"通过","不通过"))</x:f>
        <x:v>待核验</x:v>
      </x:c>
      <x:c r="G9" s="59" t="inlineStr">
        <x:is>
          <x:t xml:space="preserve">优化负债结构与资本金</x:t>
        </x:is>
      </x:c>
    </x:row>
    <x:row r="10">
      <x:c r="A10" s="59" t="inlineStr">
        <x:is>
          <x:t xml:space="preserve">专精特新中小企业</x:t>
        </x:is>
      </x:c>
      <x:c r="B10" s="59" t="n">
        <x:v>6</x:v>
      </x:c>
      <x:c r="C10" s="59" t="inlineStr">
        <x:is>
          <x:t xml:space="preserve">近两年每年研发费用≥100万元</x:t>
        </x:is>
      </x:c>
      <x:c r="D10" s="76" t="str">
        <x:f>"前一年度"&amp;'客户数据录入'!C23&amp;"；上年"&amp;'客户数据录入'!C24</x:f>
        <x:v>前一年度；上年</x:v>
      </x:c>
      <x:c r="E10" s="59" t="inlineStr">
        <x:is>
          <x:t xml:space="preserve">每年≥100万元</x:t>
        </x:is>
      </x:c>
      <x:c r="F10" s="59" t="str">
        <x:f>IF(OR('客户数据录入'!C23="",'客户数据录入'!C24=""),"待核验",IF(AND('客户数据录入'!C23&gt;=100,'客户数据录入'!C24&gt;=100),"通过","不通过"))</x:f>
        <x:v>待核验</x:v>
      </x:c>
      <x:c r="G10" s="59" t="inlineStr">
        <x:is>
          <x:t xml:space="preserve">核对研发辅助账，持续投入</x:t>
        </x:is>
      </x:c>
    </x:row>
    <x:row r="11">
      <x:c r="A11" s="59" t="inlineStr">
        <x:is>
          <x:t xml:space="preserve">专精特新中小企业</x:t>
        </x:is>
      </x:c>
      <x:c r="B11" s="59" t="n">
        <x:v>7</x:v>
      </x:c>
      <x:c r="C11" s="59" t="inlineStr">
        <x:is>
          <x:t xml:space="preserve">近两年每年研发费用占比≥3%</x:t>
        </x:is>
      </x:c>
      <x:c r="D11" s="76" t="str">
        <x:f>"前一年度"&amp;TEXT('客户数据录入'!C25,"0.0%")&amp;"；上年"&amp;TEXT('客户数据录入'!C26,"0.0%")</x:f>
        <x:v>前一年度；上年</x:v>
      </x:c>
      <x:c r="E11" s="59" t="inlineStr">
        <x:is>
          <x:t xml:space="preserve">每年≥3%</x:t>
        </x:is>
      </x:c>
      <x:c r="F11" s="59" t="str">
        <x:f>IF(OR('客户数据录入'!C25="",'客户数据录入'!C26=""),"待核验",IF(AND('客户数据录入'!C25&gt;=0.03,'客户数据录入'!C26&gt;=0.03),"通过","不通过"))</x:f>
        <x:v>待核验</x:v>
      </x:c>
      <x:c r="G11" s="59" t="inlineStr">
        <x:is>
          <x:t xml:space="preserve">研发预算和收入增长同步管理</x:t>
        </x:is>
      </x:c>
    </x:row>
    <x:row r="12">
      <x:c r="A12" s="59" t="inlineStr">
        <x:is>
          <x:t xml:space="preserve">专精特新中小企业</x:t>
        </x:is>
      </x:c>
      <x:c r="B12" s="59" t="n">
        <x:v>8</x:v>
      </x:c>
      <x:c r="C12" s="59" t="inlineStr">
        <x:is>
          <x:t xml:space="preserve">≥1项相关非转让I类知识产权并应用，或满足豁免</x:t>
        </x:is>
      </x:c>
      <x:c r="D12" s="76" t="str">
        <x:f>"I类"&amp;'客户数据录入'!C37&amp;"；应用"&amp;'客户数据录入'!C38</x:f>
        <x:v>I类；应用</x:v>
      </x:c>
      <x:c r="E12" s="59" t="inlineStr">
        <x:is>
          <x:t xml:space="preserve">满足主条件或豁免</x:t>
        </x:is>
      </x:c>
      <x:c r="F12" s="59" t="str">
        <x:f>IF(AND('客户数据录入'!C37="",'客户数据录入'!C38="",'客户数据录入'!C39="",'客户数据录入'!C41=""),"待核验",IF(OR(AND('客户数据录入'!C37&gt;=1,'客户数据录入'!C38="是"),'客户数据录入'!C39="是",'客户数据录入'!C41="是"),"通过","不通过"))</x:f>
        <x:v>待核验</x:v>
      </x:c>
      <x:c r="G12" s="59" t="inlineStr">
        <x:is>
          <x:t xml:space="preserve">优先取得与主导产品直接相关的I类知识产权</x:t>
        </x:is>
      </x:c>
    </x:row>
    <x:row r="13">
      <x:c r="A13" s="59" t="inlineStr">
        <x:is>
          <x:t xml:space="preserve">专精特新中小企业</x:t>
        </x:is>
      </x:c>
      <x:c r="B13" s="59" t="n">
        <x:v>9</x:v>
      </x:c>
      <x:c r="C13" s="59" t="inlineStr">
        <x:is>
          <x:t xml:space="preserve">细分市场占有率靠前并具有知名度</x:t>
        </x:is>
      </x:c>
      <x:c r="D13" s="76" t="str">
        <x:f>IF('客户数据录入'!C45="","",'客户数据录入'!C45)</x:f>
      </x:c>
      <x:c r="E13" s="59" t="inlineStr">
        <x:is>
          <x:t xml:space="preserve">是</x:t>
        </x:is>
      </x:c>
      <x:c r="F13" s="59" t="str">
        <x:f>IF(D13="","待核验",IF(D13="是","通过","不通过"))</x:f>
        <x:v>待核验</x:v>
      </x:c>
      <x:c r="G13" s="59" t="inlineStr">
        <x:is>
          <x:t xml:space="preserve">统一细分市场口径，补排名和客户证据</x:t>
        </x:is>
      </x:c>
    </x:row>
    <x:row r="14">
      <x:c r="A14" s="59" t="inlineStr">
        <x:is>
          <x:t xml:space="preserve">专精特新中小企业</x:t>
        </x:is>
      </x:c>
      <x:c r="B14" s="59" t="n">
        <x:v>10</x:v>
      </x:c>
      <x:c r="C14" s="59" t="inlineStr">
        <x:is>
          <x:t xml:space="preserve">质量评价≥50分；复核近两年任一年度≥50分</x:t>
        </x:is>
      </x:c>
      <x:c r="D14" s="76" t="n">
        <x:f>'评分底稿'!H29</x:f>
        <x:v>0</x:v>
      </x:c>
      <x:c r="E14" s="59" t="inlineStr">
        <x:is>
          <x:t xml:space="preserve">≥50分</x:t>
        </x:is>
      </x:c>
      <x:c r="F14" s="59" t="str">
        <x:f>IF(COUNT('评分底稿'!H5:H26)&lt;22,"待核验",IF(OR('评分底稿'!H29&gt;=50,AND('客户数据录入'!C7="复核",'客户数据录入'!C9&gt;=50)),"通过","不通过"))</x:f>
        <x:v>待核验</x:v>
      </x:c>
      <x:c r="G14" s="59" t="inlineStr">
        <x:is>
          <x:t xml:space="preserve">按失分和预计增分排序提升</x:t>
        </x:is>
      </x:c>
    </x:row>
    <x:row r="15">
      <x:c r="A15" s="50" t="str"/>
      <x:c r="B15" s="50" t="str"/>
      <x:c r="C15" s="50" t="str"/>
      <x:c r="D15" s="78" t="str"/>
      <x:c r="E15" s="50" t="str"/>
      <x:c r="F15" s="50" t="str"/>
      <x:c r="G15" s="50" t="str"/>
    </x:row>
    <x:row r="16">
      <x:c r="A16" s="50" t="str"/>
      <x:c r="B16" s="50" t="str"/>
      <x:c r="C16" s="50" t="str"/>
      <x:c r="D16" s="78" t="str"/>
      <x:c r="E16" s="50" t="str"/>
      <x:c r="F16" s="50" t="str"/>
      <x:c r="G16" s="50" t="str"/>
    </x:row>
    <x:row r="17">
      <x:c r="A17" s="63" t="inlineStr">
        <x:is>
          <x:t xml:space="preserve">专精特新“小巨人”</x:t>
        </x:is>
      </x:c>
      <x:c r="B17" s="63" t="n">
        <x:v>1</x:v>
      </x:c>
      <x:c r="C17" s="63" t="inlineStr">
        <x:is>
          <x:t xml:space="preserve">已取得专精特新中小企业资格</x:t>
        </x:is>
      </x:c>
      <x:c r="D17" s="79" t="str">
        <x:f>IF('客户数据录入'!C12="","",'客户数据录入'!C12)</x:f>
      </x:c>
      <x:c r="E17" s="63" t="inlineStr">
        <x:is>
          <x:t xml:space="preserve">是</x:t>
        </x:is>
      </x:c>
      <x:c r="F17" s="63" t="str">
        <x:f>IF(D17="","待核验",IF(D17="是","通过","不通过"))</x:f>
        <x:v>待核验</x:v>
      </x:c>
      <x:c r="G17" s="63" t="inlineStr">
        <x:is>
          <x:t xml:space="preserve">先取得省级专精特新中小企业</x:t>
        </x:is>
      </x:c>
    </x:row>
    <x:row r="18">
      <x:c r="A18" s="63" t="inlineStr">
        <x:is>
          <x:t xml:space="preserve">专精特新“小巨人”</x:t>
        </x:is>
      </x:c>
      <x:c r="B18" s="63" t="n">
        <x:v>2</x:v>
      </x:c>
      <x:c r="C18" s="63" t="inlineStr">
        <x:is>
          <x:t xml:space="preserve">从事细分市场≥3年</x:t>
        </x:is>
      </x:c>
      <x:c r="D18" s="79" t="str">
        <x:f>IF('客户数据录入'!C13="","",'客户数据录入'!C13)</x:f>
      </x:c>
      <x:c r="E18" s="63" t="inlineStr">
        <x:is>
          <x:t xml:space="preserve">≥3年</x:t>
        </x:is>
      </x:c>
      <x:c r="F18" s="63" t="str">
        <x:f>IF(D18="","待核验",IF(D18&gt;=3,"通过","不通过"))</x:f>
        <x:v>待核验</x:v>
      </x:c>
      <x:c r="G18" s="63" t="inlineStr">
        <x:is>
          <x:t xml:space="preserve">确认持续经营证据</x:t>
        </x:is>
      </x:c>
    </x:row>
    <x:row r="19">
      <x:c r="A19" s="63" t="inlineStr">
        <x:is>
          <x:t xml:space="preserve">专精特新“小巨人”</x:t>
        </x:is>
      </x:c>
      <x:c r="B19" s="63" t="n">
        <x:v>3</x:v>
      </x:c>
      <x:c r="C19" s="63" t="inlineStr">
        <x:is>
          <x:t xml:space="preserve">上年营业收入≥5000万元</x:t>
        </x:is>
      </x:c>
      <x:c r="D19" s="79" t="str">
        <x:f>IF('客户数据录入'!C14="","",'客户数据录入'!C14)</x:f>
      </x:c>
      <x:c r="E19" s="63" t="inlineStr">
        <x:is>
          <x:t xml:space="preserve">≥5000万元</x:t>
        </x:is>
      </x:c>
      <x:c r="F19" s="63" t="str">
        <x:f>IF(D19="","待核验",IF(D19&gt;=5000,"通过","不通过"))</x:f>
        <x:v>待核验</x:v>
      </x:c>
      <x:c r="G19" s="63" t="inlineStr">
        <x:is>
          <x:t xml:space="preserve">营业收入不足时不宜申报</x:t>
        </x:is>
      </x:c>
    </x:row>
    <x:row r="20">
      <x:c r="A20" s="63" t="inlineStr">
        <x:is>
          <x:t xml:space="preserve">专精特新“小巨人”</x:t>
        </x:is>
      </x:c>
      <x:c r="B20" s="63" t="n">
        <x:v>4</x:v>
      </x:c>
      <x:c r="C20" s="63" t="inlineStr">
        <x:is>
          <x:t xml:space="preserve">主营业务收入占比≥90%</x:t>
        </x:is>
      </x:c>
      <x:c r="D20" s="79" t="str">
        <x:f>IF('客户数据录入'!C18="","",'客户数据录入'!C18)</x:f>
      </x:c>
      <x:c r="E20" s="63" t="inlineStr">
        <x:is>
          <x:t xml:space="preserve">≥90%</x:t>
        </x:is>
      </x:c>
      <x:c r="F20" s="63" t="str">
        <x:f>IF(D20="","待核验",IF(D20&gt;=0.9,"通过","不通过"))</x:f>
        <x:v>待核验</x:v>
      </x:c>
      <x:c r="G20" s="63" t="inlineStr">
        <x:is>
          <x:t xml:space="preserve">聚焦主业并统一收入边界</x:t>
        </x:is>
      </x:c>
    </x:row>
    <x:row r="21">
      <x:c r="A21" s="63" t="inlineStr">
        <x:is>
          <x:t xml:space="preserve">专精特新“小巨人”</x:t>
        </x:is>
      </x:c>
      <x:c r="B21" s="63" t="n">
        <x:v>5</x:v>
      </x:c>
      <x:c r="C21" s="63" t="inlineStr">
        <x:is>
          <x:t xml:space="preserve">近两年营业收入复合增长率≥5%；复核免考</x:t>
        </x:is>
      </x:c>
      <x:c r="D21" s="80" t="str">
        <x:f>IF('客户数据录入'!C21="","",'客户数据录入'!C21)</x:f>
      </x:c>
      <x:c r="E21" s="63" t="inlineStr">
        <x:is>
          <x:t xml:space="preserve">新申报≥5%</x:t>
        </x:is>
      </x:c>
      <x:c r="F21" s="63" t="str">
        <x:f>IF('客户数据录入'!C7="复核","通过",IF(D21="","待核验",IF(D21&gt;=0.05,"通过","不通过")))</x:f>
        <x:v>待核验</x:v>
      </x:c>
      <x:c r="G21" s="63" t="inlineStr">
        <x:is>
          <x:t xml:space="preserve">新申报企业应提前两年管理增长</x:t>
        </x:is>
      </x:c>
    </x:row>
    <x:row r="22">
      <x:c r="A22" s="63" t="inlineStr">
        <x:is>
          <x:t xml:space="preserve">专精特新“小巨人”</x:t>
        </x:is>
      </x:c>
      <x:c r="B22" s="63" t="n">
        <x:v>6</x:v>
      </x:c>
      <x:c r="C22" s="63" t="inlineStr">
        <x:is>
          <x:t xml:space="preserve">资产负债率≤75%</x:t>
        </x:is>
      </x:c>
      <x:c r="D22" s="80" t="str">
        <x:f>IF('客户数据录入'!C19="","",'客户数据录入'!C19)</x:f>
      </x:c>
      <x:c r="E22" s="63" t="inlineStr">
        <x:is>
          <x:t xml:space="preserve">≤75%</x:t>
        </x:is>
      </x:c>
      <x:c r="F22" s="63" t="str">
        <x:f>IF(D22="","待核验",IF(D22&lt;=0.75,"通过","不通过"))</x:f>
        <x:v>待核验</x:v>
      </x:c>
      <x:c r="G22" s="63" t="inlineStr">
        <x:is>
          <x:t xml:space="preserve">优化资本结构</x:t>
        </x:is>
      </x:c>
    </x:row>
    <x:row r="23">
      <x:c r="A23" s="63" t="inlineStr">
        <x:is>
          <x:t xml:space="preserve">专精特新“小巨人”</x:t>
        </x:is>
      </x:c>
      <x:c r="B23" s="63" t="n">
        <x:v>7</x:v>
      </x:c>
      <x:c r="C23" s="63" t="inlineStr">
        <x:is>
          <x:t xml:space="preserve">近两年研发合计≥1200万元，且每年研发占比≥3%</x:t>
        </x:is>
      </x:c>
      <x:c r="D23" s="80" t="str">
        <x:f>"合计"&amp;'客户数据录入'!C27&amp;"；占比"&amp;TEXT('客户数据录入'!C25,"0.0%")&amp;"/"&amp;TEXT('客户数据录入'!C26,"0.0%")</x:f>
        <x:v>合计；占比/</x:v>
      </x:c>
      <x:c r="E23" s="63" t="inlineStr">
        <x:is>
          <x:t xml:space="preserve">合计≥1200且每年≥3%</x:t>
        </x:is>
      </x:c>
      <x:c r="F23" s="63" t="str">
        <x:f>IF(OR('客户数据录入'!C27="",'客户数据录入'!C25="",'客户数据录入'!C26=""),"待核验",IF(AND('客户数据录入'!C27&gt;=1200,'客户数据录入'!C25&gt;=0.03,'客户数据录入'!C26&gt;=0.03),"通过","不通过"))</x:f>
        <x:v>待核验</x:v>
      </x:c>
      <x:c r="G23" s="63" t="inlineStr">
        <x:is>
          <x:t xml:space="preserve">研发投入金额与比例双控</x:t>
        </x:is>
      </x:c>
    </x:row>
    <x:row r="24">
      <x:c r="A24" s="63" t="inlineStr">
        <x:is>
          <x:t xml:space="preserve">专精特新“小巨人”</x:t>
        </x:is>
      </x:c>
      <x:c r="B24" s="63" t="n">
        <x:v>8</x:v>
      </x:c>
      <x:c r="C24" s="63" t="inlineStr">
        <x:is>
          <x:t xml:space="preserve">≥4项相关非转让I类知识产权并应用，或国家级奖励豁免</x:t>
        </x:is>
      </x:c>
      <x:c r="D24" s="79" t="str">
        <x:f>"I类"&amp;'客户数据录入'!C37&amp;"；应用"&amp;'客户数据录入'!C38</x:f>
        <x:v>I类；应用</x:v>
      </x:c>
      <x:c r="E24" s="63" t="inlineStr">
        <x:is>
          <x:t xml:space="preserve">满足主条件或豁免</x:t>
        </x:is>
      </x:c>
      <x:c r="F24" s="63" t="str">
        <x:f>IF(AND('客户数据录入'!C37="",'客户数据录入'!C38="",'客户数据录入'!C40=""),"待核验",IF(OR(AND('客户数据录入'!C37&gt;=4,'客户数据录入'!C38="是"),'客户数据录入'!C40="是"),"通过","不通过"))</x:f>
        <x:v>待核验</x:v>
      </x:c>
      <x:c r="G24" s="63" t="inlineStr">
        <x:is>
          <x:t xml:space="preserve">形成核心技术对应的I类知识产权组合</x:t>
        </x:is>
      </x:c>
    </x:row>
    <x:row r="25">
      <x:c r="A25" s="63" t="inlineStr">
        <x:is>
          <x:t xml:space="preserve">专精特新“小巨人”</x:t>
        </x:is>
      </x:c>
      <x:c r="B25" s="63" t="n">
        <x:v>9</x:v>
      </x:c>
      <x:c r="C25" s="63" t="inlineStr">
        <x:is>
          <x:t xml:space="preserve">市场占有率≥10%或国内前三</x:t>
        </x:is>
      </x:c>
      <x:c r="D25" s="79" t="str">
        <x:f>"占有率"&amp;IF('客户数据录入'!C43="","",TEXT('客户数据录入'!C43,"0.0%"))&amp;"；排名"&amp;'客户数据录入'!C44</x:f>
        <x:v>占有率；排名</x:v>
      </x:c>
      <x:c r="E25" s="63" t="inlineStr">
        <x:is>
          <x:t xml:space="preserve">≥10%或国内前三</x:t>
        </x:is>
      </x:c>
      <x:c r="F25" s="63" t="str">
        <x:f>IF(AND('客户数据录入'!C43="",'客户数据录入'!C44=""),"待核验",IF(OR('客户数据录入'!C43&gt;=0.1,AND('客户数据录入'!C44&gt;0,'客户数据录入'!C44&lt;=3)),"通过","不通过"))</x:f>
        <x:v>待核验</x:v>
      </x:c>
      <x:c r="G25" s="63" t="inlineStr">
        <x:is>
          <x:t xml:space="preserve">补权威市场研究或同口径测算</x:t>
        </x:is>
      </x:c>
    </x:row>
    <x:row r="26">
      <x:c r="A26" s="63" t="inlineStr">
        <x:is>
          <x:t xml:space="preserve">专精特新“小巨人”</x:t>
        </x:is>
      </x:c>
      <x:c r="B26" s="63" t="n">
        <x:v>10</x:v>
      </x:c>
      <x:c r="C26" s="63" t="inlineStr">
        <x:is>
          <x:t xml:space="preserve">位于重点产业关键环节并发挥重要作用</x:t>
        </x:is>
      </x:c>
      <x:c r="D26" s="79" t="str">
        <x:f>IF('客户数据录入'!C46="","",'客户数据录入'!C46)</x:f>
      </x:c>
      <x:c r="E26" s="63" t="inlineStr">
        <x:is>
          <x:t xml:space="preserve">是</x:t>
        </x:is>
      </x:c>
      <x:c r="F26" s="63" t="str">
        <x:f>IF(D26="","待核验",IF(D26="是","通过","不通过"))</x:f>
        <x:v>待核验</x:v>
      </x:c>
      <x:c r="G26" s="63" t="inlineStr">
        <x:is>
          <x:t xml:space="preserve">建立产品—技术—产业链环节证据链</x:t>
        </x:is>
      </x:c>
    </x:row>
    <x:row r="27">
      <x:c r="A27" s="63" t="inlineStr">
        <x:is>
          <x:t xml:space="preserve">专精特新“小巨人”</x:t>
        </x:is>
      </x:c>
      <x:c r="B27" s="63" t="n">
        <x:v>11</x:v>
      </x:c>
      <x:c r="C27" s="63" t="inlineStr">
        <x:is>
          <x:t xml:space="preserve">质量评价≥60分；复核近两年任一年度≥60分</x:t>
        </x:is>
      </x:c>
      <x:c r="D27" s="79" t="n">
        <x:f>'评分底稿'!H29</x:f>
        <x:v>0</x:v>
      </x:c>
      <x:c r="E27" s="63" t="inlineStr">
        <x:is>
          <x:t xml:space="preserve">≥60分</x:t>
        </x:is>
      </x:c>
      <x:c r="F27" s="63" t="str">
        <x:f>IF(COUNT('评分底稿'!H5:H26)&lt;22,"待核验",IF(OR('评分底稿'!H29&gt;=60,AND('客户数据录入'!C7="复核",'客户数据录入'!C9&gt;=60)),"通过","不通过"))</x:f>
        <x:v>待核验</x:v>
      </x:c>
      <x:c r="G27" s="63" t="inlineStr">
        <x:is>
          <x:t xml:space="preserve">按失分和预计增分排序提升</x:t>
        </x:is>
      </x:c>
    </x:row>
    <x:row r="28">
      <x:c r="A28" s="53" t="n"/>
      <x:c r="B28" s="53" t="n"/>
      <x:c r="C28" s="53" t="n"/>
      <x:c r="D28" s="53" t="n"/>
      <x:c r="E28" s="53" t="n"/>
      <x:c r="F28" s="53" t="n"/>
      <x:c r="G28" s="53" t="n"/>
    </x:row>
    <x:row r="29">
      <x:c r="A29" s="67" t="inlineStr">
        <x:is>
          <x:t xml:space="preserve">当前所选项目硬门槛总判定</x:t>
        </x:is>
      </x:c>
      <x:c r="F29" s="67" t="str">
        <x:f>IF('客户数据录入'!C5="专精特新中小企业",IF(COUNTIF(F5:F14,"不通过")&gt;0,"不通过",IF(COUNTIF(F5:F14,"待核验")&gt;0,"待核验","通过")),IF(COUNTIF(F17:F27,"不通过")&gt;0,"不通过",IF(COUNTIF(F17:F27,"待核验")&gt;0,"待核验","通过")))</x:f>
        <x:v>待核验</x:v>
      </x:c>
    </x:row>
  </x:sheetData>
  <x:mergeCells>
    <x:mergeCell ref="F29:G29"/>
    <x:mergeCell ref="A2:G2"/>
    <x:mergeCell ref="A1:G1"/>
    <x:mergeCell ref="A29:E29"/>
  </x:mergeCells>
  <x:conditionalFormatting sqref="F5:F27">
    <x:cfRule type="containsText" dxfId="2" priority="1" operator="containsText" text="通过"/>
    <x:cfRule type="containsText" dxfId="0" priority="2" operator="containsText" text="不通过"/>
    <x:cfRule type="containsText" dxfId="5" priority="3" operator="containsText" text="待核验"/>
  </x:conditionalFormatting>
  <x:conditionalFormatting sqref="F29:F29">
    <x:cfRule type="containsText" dxfId="2" priority="4" operator="containsText" text="通过"/>
    <x:cfRule type="containsText" dxfId="0" priority="5" operator="containsText" text="不通过"/>
    <x:cfRule type="containsText" dxfId="5" priority="6" operator="containsText" text="待核验"/>
  </x:conditionalFormatting>
  <x:pageMargins left="0.7" right="0.7" top="0.75" bottom="0.75" header="0.3" footer="0.3"/>
  <x:drawing xmlns:r="http://schemas.openxmlformats.org/officeDocument/2006/relationships" r:id="R5026f6ed5e62406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2" customWidth="1"/>
    <x:col min="3" max="3" width="14" customWidth="1"/>
    <x:col min="4" max="4" width="31" customWidth="1"/>
    <x:col min="5" max="5" width="9" customWidth="1"/>
    <x:col min="6" max="6" width="12" customWidth="1"/>
    <x:col min="7" max="7" width="12" customWidth="1"/>
    <x:col min="8" max="8" width="11" customWidth="1"/>
    <x:col min="9" max="9" width="10" customWidth="1"/>
    <x:col min="10" max="10" width="10" customWidth="1"/>
    <x:col min="11" max="11" width="10" customWidth="1"/>
    <x:col min="12" max="12" width="13" customWidth="1"/>
    <x:col min="13" max="13" width="22" customWidth="1"/>
    <x:col min="14" max="14" width="42" customWidth="1"/>
    <x:col min="15" max="15" width="24" customWidth="1"/>
  </x:cols>
  <x:sheetData>
    <x:row r="1" ht="34" customHeight="1">
      <x:c r="A1" s="46" t="inlineStr">
        <x:is>
          <x:t xml:space="preserve">统一质量评价评分底稿</x:t>
        </x:is>
      </x:c>
    </x:row>
    <x:row r="2" ht="32" customHeight="1">
      <x:c r="A2" s="52" t="inlineStr">
        <x:is>
          <x:t xml:space="preserve">F列为模型建议分；G列允许人工调整，H列自动取人工调整优先；I列填写目标分。黄色单元格可编辑。</x:t>
        </x:is>
      </x:c>
    </x:row>
    <x:row r="3">
      <x:c r="A3" s="53" t="n"/>
      <x:c r="B3" s="53" t="n"/>
      <x:c r="C3" s="53" t="n"/>
      <x:c r="D3" s="53" t="n"/>
      <x:c r="E3" s="53" t="n"/>
      <x:c r="F3" s="53" t="n"/>
      <x:c r="G3" s="53" t="n"/>
      <x:c r="H3" s="53" t="n"/>
      <x:c r="I3" s="53" t="n"/>
      <x:c r="J3" s="53" t="n"/>
      <x:c r="K3" s="53" t="n"/>
      <x:c r="L3" s="53" t="n"/>
      <x:c r="M3" s="53" t="n"/>
      <x:c r="N3" s="53" t="n"/>
      <x:c r="O3" s="53" t="n"/>
    </x:row>
    <x:row r="4">
      <x:c r="A4" s="49" t="inlineStr">
        <x:is>
          <x:t xml:space="preserve">序号</x:t>
        </x:is>
      </x:c>
      <x:c r="B4" s="49" t="inlineStr">
        <x:is>
          <x:t xml:space="preserve">一级指标</x:t>
        </x:is>
      </x:c>
      <x:c r="C4" s="49" t="inlineStr">
        <x:is>
          <x:t xml:space="preserve">二级指标</x:t>
        </x:is>
      </x:c>
      <x:c r="D4" s="49" t="inlineStr">
        <x:is>
          <x:t xml:space="preserve">评分单元</x:t>
        </x:is>
      </x:c>
      <x:c r="E4" s="49" t="inlineStr">
        <x:is>
          <x:t xml:space="preserve">满分</x:t>
        </x:is>
      </x:c>
      <x:c r="F4" s="49" t="str">
        <x:v>公式计算分</x:v>
      </x:c>
      <x:c r="G4" s="49" t="str">
        <x:v>公开代理/核验调整</x:v>
      </x:c>
      <x:c r="H4" s="49" t="str">
        <x:v>基准粗评分</x:v>
      </x:c>
      <x:c r="I4" s="49" t="str">
        <x:v>目标情景分</x:v>
      </x:c>
      <x:c r="J4" s="49" t="inlineStr">
        <x:is>
          <x:t xml:space="preserve">当前失分</x:t>
        </x:is>
      </x:c>
      <x:c r="K4" s="49" t="inlineStr">
        <x:is>
          <x:t xml:space="preserve">预计增分</x:t>
        </x:is>
      </x:c>
      <x:c r="L4" s="49" t="inlineStr">
        <x:is>
          <x:t xml:space="preserve">弱项等级</x:t>
        </x:is>
      </x:c>
      <x:c r="M4" s="49" t="inlineStr">
        <x:is>
          <x:t xml:space="preserve">数据/证据</x:t>
        </x:is>
      </x:c>
      <x:c r="N4" s="49" t="inlineStr">
        <x:is>
          <x:t xml:space="preserve">提升动作</x:t>
        </x:is>
      </x:c>
      <x:c r="O4" s="49" t="inlineStr">
        <x:is>
          <x:t xml:space="preserve">口径</x:t>
        </x:is>
      </x:c>
    </x:row>
    <x:row r="5">
      <x:c r="A5" s="50" t="n">
        <x:v>1</x:v>
      </x:c>
      <x:c r="B5" s="50" t="inlineStr">
        <x:is>
          <x:t xml:space="preserve">专业化</x:t>
        </x:is>
      </x:c>
      <x:c r="C5" s="50" t="inlineStr">
        <x:is>
          <x:t xml:space="preserve">业务专注</x:t>
        </x:is>
      </x:c>
      <x:c r="D5" s="50" t="inlineStr">
        <x:is>
          <x:t xml:space="preserve">从事细分市场年限</x:t>
        </x:is>
      </x:c>
      <x:c r="E5" s="50" t="n">
        <x:v>2</x:v>
      </x:c>
      <x:c r="F5" s="78" t="str">
        <x:f>IF('客户数据录入'!C13="","",MIN(2,INT('客户数据录入'!C13/2)))</x:f>
      </x:c>
      <x:c r="G5" s="81" t="str"/>
      <x:c r="H5" s="78" t="str">
        <x:f>IF(G5&lt;&gt;"",MIN(E5,MAX(0,G5)),F5)</x:f>
      </x:c>
      <x:c r="I5" s="81" t="str"/>
      <x:c r="J5" s="78" t="str">
        <x:f>IF(H5="","",E5-H5)</x:f>
      </x:c>
      <x:c r="K5" s="78" t="str">
        <x:f>IF(OR(H5="",I5=""),"",MAX(0,MIN(E5,I5)-H5))</x:f>
      </x:c>
      <x:c r="L5" s="50" t="str">
        <x:f>IF(H5="","待评分",IF(H5/E5&lt;0.4,"严重短板",IF(H5/E5&lt;0.7,"重点提升",IF(H5/E5&lt;0.9,"可优化","优势保持"))))</x:f>
        <x:v>待评分</x:v>
      </x:c>
      <x:c r="M5" s="50" t="inlineStr">
        <x:is>
          <x:t xml:space="preserve">细分年限</x:t>
        </x:is>
      </x:c>
      <x:c r="N5" s="50" t="inlineStr">
        <x:is>
          <x:t xml:space="preserve">梳理细分市场持续经营证据；短期不可改变，重点补足其他专业化项</x:t>
        </x:is>
      </x:c>
      <x:c r="O5" s="50" t="str">
        <x:v>政策指标操作化</x:v>
      </x:c>
    </x:row>
    <x:row r="6">
      <x:c r="A6" s="50" t="n">
        <x:v>2</x:v>
      </x:c>
      <x:c r="B6" s="50" t="inlineStr">
        <x:is>
          <x:t xml:space="preserve">专业化</x:t>
        </x:is>
      </x:c>
      <x:c r="C6" s="50" t="inlineStr">
        <x:is>
          <x:t xml:space="preserve">业务专注</x:t>
        </x:is>
      </x:c>
      <x:c r="D6" s="50" t="inlineStr">
        <x:is>
          <x:t xml:space="preserve">细分行业营业收入排名</x:t>
        </x:is>
      </x:c>
      <x:c r="E6" s="50" t="n">
        <x:v>3</x:v>
      </x:c>
      <x:c r="F6" s="78" t="str">
        <x:f>IF('客户数据录入'!C44="","",IF('客户数据录入'!C44&lt;=3,3,IF('客户数据录入'!C44&lt;=10,2,IF('客户数据录入'!C44&lt;=30,1,0))))</x:f>
      </x:c>
      <x:c r="G6" s="81" t="str"/>
      <x:c r="H6" s="78" t="str">
        <x:f>IF(G6&lt;&gt;"",MIN(E6,MAX(0,G6)),F6)</x:f>
      </x:c>
      <x:c r="I6" s="81" t="str"/>
      <x:c r="J6" s="78" t="str">
        <x:f>IF(H6="","",E6-H6)</x:f>
      </x:c>
      <x:c r="K6" s="78" t="str">
        <x:f>IF(OR(H6="",I6=""),"",MAX(0,MIN(E6,I6)-H6))</x:f>
      </x:c>
      <x:c r="L6" s="50" t="str">
        <x:f>IF(H6="","待评分",IF(H6/E6&lt;0.4,"严重短板",IF(H6/E6&lt;0.7,"重点提升",IF(H6/E6&lt;0.9,"可优化","优势保持"))))</x:f>
        <x:v>待评分</x:v>
      </x:c>
      <x:c r="M6" s="50" t="inlineStr">
        <x:is>
          <x:t xml:space="preserve">国内排名</x:t>
        </x:is>
      </x:c>
      <x:c r="N6" s="50" t="inlineStr">
        <x:is>
          <x:t xml:space="preserve">统一细分市场边界，补近三年同口径排名和收入证据</x:t>
        </x:is>
      </x:c>
      <x:c r="O6" s="50" t="str">
        <x:v>政策指标操作化</x:v>
      </x:c>
    </x:row>
    <x:row r="7">
      <x:c r="A7" s="50" t="n">
        <x:v>3</x:v>
      </x:c>
      <x:c r="B7" s="50" t="inlineStr">
        <x:is>
          <x:t xml:space="preserve">专业化</x:t>
        </x:is>
      </x:c>
      <x:c r="C7" s="50" t="inlineStr">
        <x:is>
          <x:t xml:space="preserve">技术聚焦</x:t>
        </x:is>
      </x:c>
      <x:c r="D7" s="50" t="inlineStr">
        <x:is>
          <x:t xml:space="preserve">发明专利集中度</x:t>
        </x:is>
      </x:c>
      <x:c r="E7" s="50" t="n">
        <x:v>5</x:v>
      </x:c>
      <x:c r="F7" s="78" t="str">
        <x:f>IF('客户数据录入'!C34="","",ROUND(MIN(1,MAX(0,'客户数据录入'!C34))*5,1))</x:f>
      </x:c>
      <x:c r="G7" s="81" t="str"/>
      <x:c r="H7" s="78" t="str">
        <x:f>IF(G7&lt;&gt;"",MIN(E7,MAX(0,G7)),F7)</x:f>
      </x:c>
      <x:c r="I7" s="81" t="str"/>
      <x:c r="J7" s="78" t="str">
        <x:f>IF(H7="","",E7-H7)</x:f>
      </x:c>
      <x:c r="K7" s="78" t="str">
        <x:f>IF(OR(H7="",I7=""),"",MAX(0,MIN(E7,I7)-H7))</x:f>
      </x:c>
      <x:c r="L7" s="50" t="str">
        <x:f>IF(H7="","待评分",IF(H7/E7&lt;0.4,"严重短板",IF(H7/E7&lt;0.7,"重点提升",IF(H7/E7&lt;0.9,"可优化","优势保持"))))</x:f>
        <x:v>待评分</x:v>
      </x:c>
      <x:c r="M7" s="50" t="inlineStr">
        <x:is>
          <x:t xml:space="preserve">IPC集中度</x:t>
        </x:is>
      </x:c>
      <x:c r="N7" s="50" t="inlineStr">
        <x:is>
          <x:t xml:space="preserve">围绕主导产品集中布局发明专利，减少与主营无关的分散专利</x:t>
        </x:is>
      </x:c>
      <x:c r="O7" s="50" t="str">
        <x:v>公开事实代理或待系统</x:v>
      </x:c>
    </x:row>
    <x:row r="8">
      <x:c r="A8" s="50" t="n">
        <x:v>4</x:v>
      </x:c>
      <x:c r="B8" s="50" t="inlineStr">
        <x:is>
          <x:t xml:space="preserve">专业化</x:t>
        </x:is>
      </x:c>
      <x:c r="C8" s="50" t="inlineStr">
        <x:is>
          <x:t xml:space="preserve">专业地位</x:t>
        </x:is>
      </x:c>
      <x:c r="D8" s="50" t="inlineStr">
        <x:is>
          <x:t xml:space="preserve">主持或参与制修订标准数量</x:t>
        </x:is>
      </x:c>
      <x:c r="E8" s="50" t="n">
        <x:v>5</x:v>
      </x:c>
      <x:c r="F8" s="78" t="str">
        <x:f>IF(COUNT('客户数据录入'!C47:C50)=0,"",MIN(5,'客户数据录入'!C47*5+'客户数据录入'!C48*3+'客户数据录入'!C49*2+'客户数据录入'!C50))</x:f>
      </x:c>
      <x:c r="G8" s="81" t="str"/>
      <x:c r="H8" s="78" t="str">
        <x:f>IF(G8&lt;&gt;"",MIN(E8,MAX(0,G8)),F8)</x:f>
      </x:c>
      <x:c r="I8" s="81" t="str"/>
      <x:c r="J8" s="78" t="str">
        <x:f>IF(H8="","",E8-H8)</x:f>
      </x:c>
      <x:c r="K8" s="78" t="str">
        <x:f>IF(OR(H8="",I8=""),"",MAX(0,MIN(E8,I8)-H8))</x:f>
      </x:c>
      <x:c r="L8" s="50" t="str">
        <x:f>IF(H8="","待评分",IF(H8/E8&lt;0.4,"严重短板",IF(H8/E8&lt;0.7,"重点提升",IF(H8/E8&lt;0.9,"可优化","优势保持"))))</x:f>
        <x:v>待评分</x:v>
      </x:c>
      <x:c r="M8" s="50" t="inlineStr">
        <x:is>
          <x:t xml:space="preserve">标准数量</x:t>
        </x:is>
      </x:c>
      <x:c r="N8" s="50" t="inlineStr">
        <x:is>
          <x:t xml:space="preserve">优先主持国家/行业标准；同步归集立项、发布和参编证明</x:t>
        </x:is>
      </x:c>
      <x:c r="O8" s="50" t="str">
        <x:v>政策计分公式</x:v>
      </x:c>
    </x:row>
    <x:row r="9">
      <x:c r="A9" s="50" t="n">
        <x:v>5</x:v>
      </x:c>
      <x:c r="B9" s="50" t="inlineStr">
        <x:is>
          <x:t xml:space="preserve">精细化</x:t>
        </x:is>
      </x:c>
      <x:c r="C9" s="50" t="inlineStr">
        <x:is>
          <x:t xml:space="preserve">经营效率</x:t>
        </x:is>
      </x:c>
      <x:c r="D9" s="50" t="inlineStr">
        <x:is>
          <x:t xml:space="preserve">人均营业收入超出行业均值情况</x:t>
        </x:is>
      </x:c>
      <x:c r="E9" s="50" t="n">
        <x:v>2</x:v>
      </x:c>
      <x:c r="F9" s="78" t="str">
        <x:f>IF(OR('客户数据录入'!C59="",'客户数据录入'!C60="",'客户数据录入'!C60&lt;=0),"",IF('客户数据录入'!C59/'客户数据录入'!C60&gt;=1.3,2,IF('客户数据录入'!C59/'客户数据录入'!C60&gt;=1.15,1.6,IF('客户数据录入'!C59/'客户数据录入'!C60&gt;=1,1.2,IF('客户数据录入'!C59/'客户数据录入'!C60&gt;=0.85,0.8,0.4)))))</x:f>
      </x:c>
      <x:c r="G9" s="81" t="str"/>
      <x:c r="H9" s="78" t="str">
        <x:f>IF(G9&lt;&gt;"",MIN(E9,MAX(0,G9)),F9)</x:f>
      </x:c>
      <x:c r="I9" s="81" t="str"/>
      <x:c r="J9" s="78" t="str">
        <x:f>IF(H9="","",E9-H9)</x:f>
      </x:c>
      <x:c r="K9" s="78" t="str">
        <x:f>IF(OR(H9="",I9=""),"",MAX(0,MIN(E9,I9)-H9))</x:f>
      </x:c>
      <x:c r="L9" s="50" t="str">
        <x:f>IF(H9="","待评分",IF(H9/E9&lt;0.4,"严重短板",IF(H9/E9&lt;0.7,"重点提升",IF(H9/E9&lt;0.9,"可优化","优势保持"))))</x:f>
        <x:v>待评分</x:v>
      </x:c>
      <x:c r="M9" s="50" t="inlineStr">
        <x:is>
          <x:t xml:space="preserve">企业/行业人均营收</x:t>
        </x:is>
      </x:c>
      <x:c r="N9" s="50" t="inlineStr">
        <x:is>
          <x:t xml:space="preserve">提升高附加值产品收入，优化低效岗位与产线节拍</x:t>
        </x:is>
      </x:c>
      <x:c r="O9" s="50" t="str">
        <x:v>统计局行业代理</x:v>
      </x:c>
    </x:row>
    <x:row r="10">
      <x:c r="A10" s="50" t="n">
        <x:v>6</x:v>
      </x:c>
      <x:c r="B10" s="50" t="inlineStr">
        <x:is>
          <x:t xml:space="preserve">精细化</x:t>
        </x:is>
      </x:c>
      <x:c r="C10" s="50" t="inlineStr">
        <x:is>
          <x:t xml:space="preserve">经营效率</x:t>
        </x:is>
      </x:c>
      <x:c r="D10" s="50" t="inlineStr">
        <x:is>
          <x:t xml:space="preserve">净资产收益率超出行业均值情况</x:t>
        </x:is>
      </x:c>
      <x:c r="E10" s="50" t="n">
        <x:v>2</x:v>
      </x:c>
      <x:c r="F10" s="78" t="str">
        <x:f>IF(OR('客户数据录入'!C61="",'客户数据录入'!C62=""),"",IF('客户数据录入'!C61-'客户数据录入'!C62&gt;=0.05,2,IF('客户数据录入'!C61-'客户数据录入'!C62&gt;=0.02,1.6,IF('客户数据录入'!C61-'客户数据录入'!C62&gt;=0,1.2,IF('客户数据录入'!C61-'客户数据录入'!C62&gt;=-0.02,0.8,0.4)))))</x:f>
      </x:c>
      <x:c r="G10" s="81" t="str"/>
      <x:c r="H10" s="78" t="str">
        <x:f>IF(G10&lt;&gt;"",MIN(E10,MAX(0,G10)),F10)</x:f>
      </x:c>
      <x:c r="I10" s="81" t="str"/>
      <x:c r="J10" s="78" t="str">
        <x:f>IF(H10="","",E10-H10)</x:f>
      </x:c>
      <x:c r="K10" s="78" t="str">
        <x:f>IF(OR(H10="",I10=""),"",MAX(0,MIN(E10,I10)-H10))</x:f>
      </x:c>
      <x:c r="L10" s="50" t="str">
        <x:f>IF(H10="","待评分",IF(H10/E10&lt;0.4,"严重短板",IF(H10/E10&lt;0.7,"重点提升",IF(H10/E10&lt;0.9,"可优化","优势保持"))))</x:f>
        <x:v>待评分</x:v>
      </x:c>
      <x:c r="M10" s="50" t="inlineStr">
        <x:is>
          <x:t xml:space="preserve">企业/行业ROE</x:t>
        </x:is>
      </x:c>
      <x:c r="N10" s="50" t="inlineStr">
        <x:is>
          <x:t xml:space="preserve">改善利润质量与资产周转，处置低效资产</x:t>
        </x:is>
      </x:c>
      <x:c r="O10" s="50" t="str">
        <x:v>统计局行业代理</x:v>
      </x:c>
    </x:row>
    <x:row r="11">
      <x:c r="A11" s="50" t="n">
        <x:v>7</x:v>
      </x:c>
      <x:c r="B11" s="50" t="inlineStr">
        <x:is>
          <x:t xml:space="preserve">精细化</x:t>
        </x:is>
      </x:c>
      <x:c r="C11" s="50" t="inlineStr">
        <x:is>
          <x:t xml:space="preserve">经营效率</x:t>
        </x:is>
      </x:c>
      <x:c r="D11" s="50" t="inlineStr">
        <x:is>
          <x:t xml:space="preserve">成本利润率超出行业均值情况</x:t>
        </x:is>
      </x:c>
      <x:c r="E11" s="50" t="n">
        <x:v>2</x:v>
      </x:c>
      <x:c r="F11" s="78" t="str">
        <x:f>IF(OR('客户数据录入'!C63="",'客户数据录入'!C64=""),"",IF('客户数据录入'!C63-'客户数据录入'!C64&gt;=0.05,2,IF('客户数据录入'!C63-'客户数据录入'!C64&gt;=0.02,1.6,IF('客户数据录入'!C63-'客户数据录入'!C64&gt;=0,1.2,IF('客户数据录入'!C63-'客户数据录入'!C64&gt;=-0.02,0.8,0.4)))))</x:f>
      </x:c>
      <x:c r="G11" s="81" t="str"/>
      <x:c r="H11" s="78" t="str">
        <x:f>IF(G11&lt;&gt;"",MIN(E11,MAX(0,G11)),F11)</x:f>
      </x:c>
      <x:c r="I11" s="81" t="str"/>
      <x:c r="J11" s="78" t="str">
        <x:f>IF(H11="","",E11-H11)</x:f>
      </x:c>
      <x:c r="K11" s="78" t="str">
        <x:f>IF(OR(H11="",I11=""),"",MAX(0,MIN(E11,I11)-H11))</x:f>
      </x:c>
      <x:c r="L11" s="50" t="str">
        <x:f>IF(H11="","待评分",IF(H11/E11&lt;0.4,"严重短板",IF(H11/E11&lt;0.7,"重点提升",IF(H11/E11&lt;0.9,"可优化","优势保持"))))</x:f>
        <x:v>待评分</x:v>
      </x:c>
      <x:c r="M11" s="50" t="inlineStr">
        <x:is>
          <x:t xml:space="preserve">企业/行业成本利润率</x:t>
        </x:is>
      </x:c>
      <x:c r="N11" s="50" t="inlineStr">
        <x:is>
          <x:t xml:space="preserve">推进工艺降本、良率提升和采购优化</x:t>
        </x:is>
      </x:c>
      <x:c r="O11" s="50" t="str">
        <x:v>统计局行业代理</x:v>
      </x:c>
    </x:row>
    <x:row r="12">
      <x:c r="A12" s="50" t="n">
        <x:v>8</x:v>
      </x:c>
      <x:c r="B12" s="50" t="inlineStr">
        <x:is>
          <x:t xml:space="preserve">精细化</x:t>
        </x:is>
      </x:c>
      <x:c r="C12" s="50" t="inlineStr">
        <x:is>
          <x:t xml:space="preserve">管理效率</x:t>
        </x:is>
      </x:c>
      <x:c r="D12" s="50" t="inlineStr">
        <x:is>
          <x:t xml:space="preserve">销售和管理费用率超出行业均值情况</x:t>
        </x:is>
      </x:c>
      <x:c r="E12" s="50" t="n">
        <x:v>4</x:v>
      </x:c>
      <x:c r="F12" s="78" t="str">
        <x:f>IF(OR('客户数据录入'!C65="",'客户数据录入'!C66=""),"",IF('客户数据录入'!C65-'客户数据录入'!C66&lt;=-0.05,4,IF('客户数据录入'!C65-'客户数据录入'!C66&lt;=-0.02,3.2,IF('客户数据录入'!C65-'客户数据录入'!C66&lt;=0,2.4,IF('客户数据录入'!C65-'客户数据录入'!C66&lt;=0.02,1.6,0.8)))))</x:f>
      </x:c>
      <x:c r="G12" s="81" t="str"/>
      <x:c r="H12" s="78" t="str">
        <x:f>IF(G12&lt;&gt;"",MIN(E12,MAX(0,G12)),F12)</x:f>
      </x:c>
      <x:c r="I12" s="81" t="str"/>
      <x:c r="J12" s="78" t="str">
        <x:f>IF(H12="","",E12-H12)</x:f>
      </x:c>
      <x:c r="K12" s="78" t="str">
        <x:f>IF(OR(H12="",I12=""),"",MAX(0,MIN(E12,I12)-H12))</x:f>
      </x:c>
      <x:c r="L12" s="50" t="str">
        <x:f>IF(H12="","待评分",IF(H12/E12&lt;0.4,"严重短板",IF(H12/E12&lt;0.7,"重点提升",IF(H12/E12&lt;0.9,"可优化","优势保持"))))</x:f>
        <x:v>待评分</x:v>
      </x:c>
      <x:c r="M12" s="50" t="inlineStr">
        <x:is>
          <x:t xml:space="preserve">企业/行业费用率</x:t>
        </x:is>
      </x:c>
      <x:c r="N12" s="50" t="inlineStr">
        <x:is>
          <x:t xml:space="preserve">优化营销效率和管理层级，避免单纯压降研发费用</x:t>
        </x:is>
      </x:c>
      <x:c r="O12" s="50" t="str">
        <x:v>统计局行业代理</x:v>
      </x:c>
    </x:row>
    <x:row r="13">
      <x:c r="A13" s="50" t="n">
        <x:v>9</x:v>
      </x:c>
      <x:c r="B13" s="50" t="inlineStr">
        <x:is>
          <x:t xml:space="preserve">精细化</x:t>
        </x:is>
      </x:c>
      <x:c r="C13" s="50" t="inlineStr">
        <x:is>
          <x:t xml:space="preserve">质量控制</x:t>
        </x:is>
      </x:c>
      <x:c r="D13" s="50" t="inlineStr">
        <x:is>
          <x:t xml:space="preserve">质量体系或产品权威认证综合</x:t>
        </x:is>
      </x:c>
      <x:c r="E13" s="50" t="n">
        <x:v>10</x:v>
      </x:c>
      <x:c r="F13" s="78" t="str">
        <x:f>IF(AND('客户数据录入'!C51="",'客户数据录入'!C52=""),"",MAX(IF('客户数据录入'!C51="国家级质量奖或卓越级",10,IF('客户数据录入'!C51="省级质量奖或预防级",5,IF('客户数据录入'!C51="保证级",3,IF('客户数据录入'!C51="ISO9001等或检验级",1,0)))),IF('客户数据录入'!C52="是",10,0)))</x:f>
      </x:c>
      <x:c r="G13" s="81" t="str"/>
      <x:c r="H13" s="78" t="str">
        <x:f>IF(G13&lt;&gt;"",MIN(E13,MAX(0,G13)),F13)</x:f>
      </x:c>
      <x:c r="I13" s="81" t="str"/>
      <x:c r="J13" s="78" t="str">
        <x:f>IF(H13="","",E13-H13)</x:f>
      </x:c>
      <x:c r="K13" s="78" t="str">
        <x:f>IF(OR(H13="",I13=""),"",MAX(0,MIN(E13,I13)-H13))</x:f>
      </x:c>
      <x:c r="L13" s="50" t="str">
        <x:f>IF(H13="","待评分",IF(H13/E13&lt;0.4,"严重短板",IF(H13/E13&lt;0.7,"重点提升",IF(H13/E13&lt;0.9,"可优化","优势保持"))))</x:f>
        <x:v>待评分</x:v>
      </x:c>
      <x:c r="M13" s="50" t="inlineStr">
        <x:is>
          <x:t xml:space="preserve">质量层级/产品认证</x:t>
        </x:is>
      </x:c>
      <x:c r="N13" s="50" t="inlineStr">
        <x:is>
          <x:t xml:space="preserve">优先取得与主导产品直接相关的国内外权威认证；质量体系与产品认证共享10分</x:t>
        </x:is>
      </x:c>
      <x:c r="O13" s="50" t="str">
        <x:v>政策质量控制口径</x:v>
      </x:c>
    </x:row>
    <x:row r="14">
      <x:c r="A14" s="50" t="n">
        <x:v>10</x:v>
      </x:c>
      <x:c r="B14" s="50" t="inlineStr">
        <x:is>
          <x:t xml:space="preserve">特色化</x:t>
        </x:is>
      </x:c>
      <x:c r="C14" s="50" t="inlineStr">
        <x:is>
          <x:t xml:space="preserve">市场优势</x:t>
        </x:is>
      </x:c>
      <x:c r="D14" s="50" t="inlineStr">
        <x:is>
          <x:t xml:space="preserve">毛利率超出行业均值情况</x:t>
        </x:is>
      </x:c>
      <x:c r="E14" s="50" t="n">
        <x:v>4</x:v>
      </x:c>
      <x:c r="F14" s="78" t="str">
        <x:f>IF(OR('客户数据录入'!C67="",'客户数据录入'!C68=""),"",IF('客户数据录入'!C67-'客户数据录入'!C68&gt;=0.05,4,IF('客户数据录入'!C67-'客户数据录入'!C68&gt;=0.02,3.2,IF('客户数据录入'!C67-'客户数据录入'!C68&gt;=0,2.4,IF('客户数据录入'!C67-'客户数据录入'!C68&gt;=-0.02,1.6,0.8)))))</x:f>
      </x:c>
      <x:c r="G14" s="81" t="str"/>
      <x:c r="H14" s="78" t="str">
        <x:f>IF(G14&lt;&gt;"",MIN(E14,MAX(0,G14)),F14)</x:f>
      </x:c>
      <x:c r="I14" s="81" t="str"/>
      <x:c r="J14" s="78" t="str">
        <x:f>IF(H14="","",E14-H14)</x:f>
      </x:c>
      <x:c r="K14" s="78" t="str">
        <x:f>IF(OR(H14="",I14=""),"",MAX(0,MIN(E14,I14)-H14))</x:f>
      </x:c>
      <x:c r="L14" s="50" t="str">
        <x:f>IF(H14="","待评分",IF(H14/E14&lt;0.4,"严重短板",IF(H14/E14&lt;0.7,"重点提升",IF(H14/E14&lt;0.9,"可优化","优势保持"))))</x:f>
        <x:v>待评分</x:v>
      </x:c>
      <x:c r="M14" s="50" t="inlineStr">
        <x:is>
          <x:t xml:space="preserve">企业/行业毛利率</x:t>
        </x:is>
      </x:c>
      <x:c r="N14" s="50" t="inlineStr">
        <x:is>
          <x:t xml:space="preserve">提升核心产品溢价，压缩低毛利非主业收入</x:t>
        </x:is>
      </x:c>
      <x:c r="O14" s="50" t="str">
        <x:v>统计局行业代理</x:v>
      </x:c>
    </x:row>
    <x:row r="15">
      <x:c r="A15" s="50" t="n">
        <x:v>11</x:v>
      </x:c>
      <x:c r="B15" s="50" t="inlineStr">
        <x:is>
          <x:t xml:space="preserve">特色化</x:t>
        </x:is>
      </x:c>
      <x:c r="C15" s="50" t="inlineStr">
        <x:is>
          <x:t xml:space="preserve">数字化转型</x:t>
        </x:is>
      </x:c>
      <x:c r="D15" s="50" t="inlineStr">
        <x:is>
          <x:t xml:space="preserve">数字化评测或满分称号</x:t>
        </x:is>
      </x:c>
      <x:c r="E15" s="50" t="n">
        <x:v>5.5</x:v>
      </x:c>
      <x:c r="F15" s="78" t="str">
        <x:f>IF('客户数据录入'!C55="是",5.5,IF(OR('客户数据录入'!C53="",'客户数据录入'!C54=""),"",IF('客户数据录入'!C53-'客户数据录入'!C54&gt;=20,5.5,IF('客户数据录入'!C53-'客户数据录入'!C54&gt;=10,4.4,IF('客户数据录入'!C53-'客户数据录入'!C54&gt;=0,3.3,IF('客户数据录入'!C53-'客户数据录入'!C54&gt;=-10,2.2,1.1))))))</x:f>
      </x:c>
      <x:c r="G15" s="81" t="str"/>
      <x:c r="H15" s="78" t="str">
        <x:f>IF(G15&lt;&gt;"",MIN(E15,MAX(0,G15)),F15)</x:f>
      </x:c>
      <x:c r="I15" s="81" t="str"/>
      <x:c r="J15" s="78" t="str">
        <x:f>IF(H15="","",E15-H15)</x:f>
      </x:c>
      <x:c r="K15" s="78" t="str">
        <x:f>IF(OR(H15="",I15=""),"",MAX(0,MIN(E15,I15)-H15))</x:f>
      </x:c>
      <x:c r="L15" s="50" t="str">
        <x:f>IF(H15="","待评分",IF(H15/E15&lt;0.4,"严重短板",IF(H15/E15&lt;0.7,"重点提升",IF(H15/E15&lt;0.9,"可优化","优势保持"))))</x:f>
        <x:v>待评分</x:v>
      </x:c>
      <x:c r="M15" s="50" t="inlineStr">
        <x:is>
          <x:t xml:space="preserve">数字化得分/行业均值</x:t>
        </x:is>
      </x:c>
      <x:c r="N15" s="50" t="inlineStr">
        <x:is>
          <x:t xml:space="preserve">先完成数字化转型评测，再建设可形成满分条件的场景或贯标</x:t>
        </x:is>
      </x:c>
      <x:c r="O15" s="50" t="str">
        <x:v>公开荣誉代理或待系统</x:v>
      </x:c>
    </x:row>
    <x:row r="16">
      <x:c r="A16" s="50" t="n">
        <x:v>12</x:v>
      </x:c>
      <x:c r="B16" s="50" t="inlineStr">
        <x:is>
          <x:t xml:space="preserve">特色化</x:t>
        </x:is>
      </x:c>
      <x:c r="C16" s="50" t="inlineStr">
        <x:is>
          <x:t xml:space="preserve">绿色化标杆</x:t>
        </x:is>
      </x:c>
      <x:c r="D16" s="50" t="inlineStr">
        <x:is>
          <x:t xml:space="preserve">绿色工厂等称号或规范条件</x:t>
        </x:is>
      </x:c>
      <x:c r="E16" s="50" t="n">
        <x:v>0.5</x:v>
      </x:c>
      <x:c r="F16" s="78" t="str">
        <x:f>IF('客户数据录入'!C56="","",IF('客户数据录入'!C56="是",0.5,0))</x:f>
      </x:c>
      <x:c r="G16" s="81" t="str"/>
      <x:c r="H16" s="78" t="str">
        <x:f>IF(G16&lt;&gt;"",MIN(E16,MAX(0,G16)),F16)</x:f>
      </x:c>
      <x:c r="I16" s="81" t="str"/>
      <x:c r="J16" s="78" t="str">
        <x:f>IF(H16="","",E16-H16)</x:f>
      </x:c>
      <x:c r="K16" s="78" t="str">
        <x:f>IF(OR(H16="",I16=""),"",MAX(0,MIN(E16,I16)-H16))</x:f>
      </x:c>
      <x:c r="L16" s="50" t="str">
        <x:f>IF(H16="","待评分",IF(H16/E16&lt;0.4,"严重短板",IF(H16/E16&lt;0.7,"重点提升",IF(H16/E16&lt;0.9,"可优化","优势保持"))))</x:f>
        <x:v>待评分</x:v>
      </x:c>
      <x:c r="M16" s="50" t="inlineStr">
        <x:is>
          <x:t xml:space="preserve">绿色称号</x:t>
        </x:is>
      </x:c>
      <x:c r="N16" s="50" t="inlineStr">
        <x:is>
          <x:t xml:space="preserve">符合条件时申报绿色工厂、绿色供应链或绿色产品</x:t>
        </x:is>
      </x:c>
      <x:c r="O16" s="50" t="str">
        <x:v>政策明确条件</x:v>
      </x:c>
    </x:row>
    <x:row r="17">
      <x:c r="A17" s="50" t="n">
        <x:v>13</x:v>
      </x:c>
      <x:c r="B17" s="50" t="inlineStr">
        <x:is>
          <x:t xml:space="preserve">特色化</x:t>
        </x:is>
      </x:c>
      <x:c r="C17" s="50" t="inlineStr">
        <x:is>
          <x:t xml:space="preserve">国际拓展</x:t>
        </x:is>
      </x:c>
      <x:c r="D17" s="50" t="inlineStr">
        <x:is>
          <x:t xml:space="preserve">PCT专利数量</x:t>
        </x:is>
      </x:c>
      <x:c r="E17" s="50" t="n">
        <x:v>5</x:v>
      </x:c>
      <x:c r="F17" s="78" t="str">
        <x:f>IF('客户数据录入'!C36="","",MIN(5,'客户数据录入'!C36))</x:f>
      </x:c>
      <x:c r="G17" s="81" t="str"/>
      <x:c r="H17" s="78" t="str">
        <x:f>IF(G17&lt;&gt;"",MIN(E17,MAX(0,G17)),F17)</x:f>
      </x:c>
      <x:c r="I17" s="81" t="str"/>
      <x:c r="J17" s="78" t="str">
        <x:f>IF(H17="","",E17-H17)</x:f>
      </x:c>
      <x:c r="K17" s="78" t="str">
        <x:f>IF(OR(H17="",I17=""),"",MAX(0,MIN(E17,I17)-H17))</x:f>
      </x:c>
      <x:c r="L17" s="50" t="str">
        <x:f>IF(H17="","待评分",IF(H17/E17&lt;0.4,"严重短板",IF(H17/E17&lt;0.7,"重点提升",IF(H17/E17&lt;0.9,"可优化","优势保持"))))</x:f>
        <x:v>待评分</x:v>
      </x:c>
      <x:c r="M17" s="50" t="inlineStr">
        <x:is>
          <x:t xml:space="preserve">PCT数量</x:t>
        </x:is>
      </x:c>
      <x:c r="N17" s="50" t="inlineStr">
        <x:is>
          <x:t xml:space="preserve">围绕核心海外市场布局PCT；先评估商业必要性与授权前景</x:t>
        </x:is>
      </x:c>
      <x:c r="O17" s="50" t="str">
        <x:v>政策指标操作化</x:v>
      </x:c>
    </x:row>
    <x:row r="18">
      <x:c r="A18" s="50" t="n">
        <x:v>14</x:v>
      </x:c>
      <x:c r="B18" s="50" t="inlineStr">
        <x:is>
          <x:t xml:space="preserve">创新能力</x:t>
        </x:is>
      </x:c>
      <x:c r="C18" s="50" t="inlineStr">
        <x:is>
          <x:t xml:space="preserve">创新投入</x:t>
        </x:is>
      </x:c>
      <x:c r="D18" s="50" t="inlineStr">
        <x:is>
          <x:t xml:space="preserve">研发投入</x:t>
        </x:is>
      </x:c>
      <x:c r="E18" s="50" t="n">
        <x:v>5</x:v>
      </x:c>
      <x:c r="F18" s="78" t="str">
        <x:f>IF('客户数据录入'!C28="","",IF('客户数据录入'!C28&gt;=2000,5,IF('客户数据录入'!C28&gt;=1500,4,IF('客户数据录入'!C28&gt;=1000,3,IF('客户数据录入'!C28&gt;=800,2,IF('客户数据录入'!C28&gt;=600,1,0))))))</x:f>
      </x:c>
      <x:c r="G18" s="81" t="str"/>
      <x:c r="H18" s="78" t="str">
        <x:f>IF(G18&lt;&gt;"",MIN(E18,MAX(0,G18)),F18)</x:f>
      </x:c>
      <x:c r="I18" s="81" t="str"/>
      <x:c r="J18" s="78" t="str">
        <x:f>IF(H18="","",E18-H18)</x:f>
      </x:c>
      <x:c r="K18" s="78" t="str">
        <x:f>IF(OR(H18="",I18=""),"",MAX(0,MIN(E18,I18)-H18))</x:f>
      </x:c>
      <x:c r="L18" s="50" t="str">
        <x:f>IF(H18="","待评分",IF(H18/E18&lt;0.4,"严重短板",IF(H18/E18&lt;0.7,"重点提升",IF(H18/E18&lt;0.9,"可优化","优势保持"))))</x:f>
        <x:v>待评分</x:v>
      </x:c>
      <x:c r="M18" s="50" t="inlineStr">
        <x:is>
          <x:t xml:space="preserve">近三年研发均值</x:t>
        </x:is>
      </x:c>
      <x:c r="N18" s="50" t="inlineStr">
        <x:is>
          <x:t xml:space="preserve">制定三年研发预算，优先补到下一档并保持账表一致</x:t>
        </x:is>
      </x:c>
      <x:c r="O18" s="50" t="str">
        <x:v>前期预评估口径</x:v>
      </x:c>
    </x:row>
    <x:row r="19">
      <x:c r="A19" s="50" t="n">
        <x:v>15</x:v>
      </x:c>
      <x:c r="B19" s="50" t="inlineStr">
        <x:is>
          <x:t xml:space="preserve">创新能力</x:t>
        </x:is>
      </x:c>
      <x:c r="C19" s="50" t="inlineStr">
        <x:is>
          <x:t xml:space="preserve">创新投入</x:t>
        </x:is>
      </x:c>
      <x:c r="D19" s="50" t="inlineStr">
        <x:is>
          <x:t xml:space="preserve">研发投入占比</x:t>
        </x:is>
      </x:c>
      <x:c r="E19" s="50" t="n">
        <x:v>5</x:v>
      </x:c>
      <x:c r="F19" s="78" t="str">
        <x:f>IF('客户数据录入'!C29="","",IF('客户数据录入'!C29&gt;=0.1,5,IF('客户数据录入'!C29&gt;=0.08,4,IF('客户数据录入'!C29&gt;=0.06,3,IF('客户数据录入'!C29&gt;=0.04,2,IF('客户数据录入'!C29&gt;=0.03,1,0))))))</x:f>
      </x:c>
      <x:c r="G19" s="81" t="str"/>
      <x:c r="H19" s="78" t="str">
        <x:f>IF(G19&lt;&gt;"",MIN(E19,MAX(0,G19)),F19)</x:f>
      </x:c>
      <x:c r="I19" s="81" t="str"/>
      <x:c r="J19" s="78" t="str">
        <x:f>IF(H19="","",E19-H19)</x:f>
      </x:c>
      <x:c r="K19" s="78" t="str">
        <x:f>IF(OR(H19="",I19=""),"",MAX(0,MIN(E19,I19)-H19))</x:f>
      </x:c>
      <x:c r="L19" s="50" t="str">
        <x:f>IF(H19="","待评分",IF(H19/E19&lt;0.4,"严重短板",IF(H19/E19&lt;0.7,"重点提升",IF(H19/E19&lt;0.9,"可优化","优势保持"))))</x:f>
        <x:v>待评分</x:v>
      </x:c>
      <x:c r="M19" s="50" t="inlineStr">
        <x:is>
          <x:t xml:space="preserve">近三年研发占比</x:t>
        </x:is>
      </x:c>
      <x:c r="N19" s="50" t="inlineStr">
        <x:is>
          <x:t xml:space="preserve">在满足硬门槛后，围绕下一档提升研发强度</x:t>
        </x:is>
      </x:c>
      <x:c r="O19" s="50" t="str">
        <x:v>前期预评估口径</x:v>
      </x:c>
    </x:row>
    <x:row r="20">
      <x:c r="A20" s="50" t="n">
        <x:v>16</x:v>
      </x:c>
      <x:c r="B20" s="50" t="inlineStr">
        <x:is>
          <x:t xml:space="preserve">创新能力</x:t>
        </x:is>
      </x:c>
      <x:c r="C20" s="50" t="inlineStr">
        <x:is>
          <x:t xml:space="preserve">创新产出</x:t>
        </x:is>
      </x:c>
      <x:c r="D20" s="50" t="inlineStr">
        <x:is>
          <x:t xml:space="preserve">发明专利数量加权</x:t>
        </x:is>
      </x:c>
      <x:c r="E20" s="50" t="n">
        <x:v>5</x:v>
      </x:c>
      <x:c r="F20" s="78" t="str">
        <x:f>IF(COUNT('客户数据录入'!C32:C33)=0,"",MIN(5,'客户数据录入'!C32*2+'客户数据录入'!C33))</x:f>
      </x:c>
      <x:c r="G20" s="81" t="str"/>
      <x:c r="H20" s="78" t="str">
        <x:f>IF(G20&lt;&gt;"",MIN(E20,MAX(0,G20)),F20)</x:f>
      </x:c>
      <x:c r="I20" s="81" t="str"/>
      <x:c r="J20" s="78" t="str">
        <x:f>IF(H20="","",E20-H20)</x:f>
      </x:c>
      <x:c r="K20" s="78" t="str">
        <x:f>IF(OR(H20="",I20=""),"",MAX(0,MIN(E20,I20)-H20))</x:f>
      </x:c>
      <x:c r="L20" s="50" t="str">
        <x:f>IF(H20="","待评分",IF(H20/E20&lt;0.4,"严重短板",IF(H20/E20&lt;0.7,"重点提升",IF(H20/E20&lt;0.9,"可优化","优势保持"))))</x:f>
        <x:v>待评分</x:v>
      </x:c>
      <x:c r="M20" s="50" t="inlineStr">
        <x:is>
          <x:t xml:space="preserve">近三年×2+其他年份</x:t>
        </x:is>
      </x:c>
      <x:c r="N20" s="50" t="inlineStr">
        <x:is>
          <x:t xml:space="preserve">增加与主导产品直接相关的有效授权发明专利</x:t>
        </x:is>
      </x:c>
      <x:c r="O20" s="50" t="str">
        <x:v>政策加权公式</x:v>
      </x:c>
    </x:row>
    <x:row r="21">
      <x:c r="A21" s="50" t="n">
        <x:v>17</x:v>
      </x:c>
      <x:c r="B21" s="50" t="inlineStr">
        <x:is>
          <x:t xml:space="preserve">创新能力</x:t>
        </x:is>
      </x:c>
      <x:c r="C21" s="50" t="inlineStr">
        <x:is>
          <x:t xml:space="preserve">创新产出</x:t>
        </x:is>
      </x:c>
      <x:c r="D21" s="50" t="inlineStr">
        <x:is>
          <x:t xml:space="preserve">发明专利网络点度中心度</x:t>
        </x:is>
      </x:c>
      <x:c r="E21" s="50" t="n">
        <x:v>5</x:v>
      </x:c>
      <x:c r="F21" s="78" t="str">
        <x:f>IF('客户数据录入'!C35="","",MIN(5,MAX(0,'客户数据录入'!C35)))</x:f>
      </x:c>
      <x:c r="G21" s="81" t="str"/>
      <x:c r="H21" s="78" t="str">
        <x:f>IF(G21&lt;&gt;"",MIN(E21,MAX(0,G21)),F21)</x:f>
      </x:c>
      <x:c r="I21" s="81" t="str"/>
      <x:c r="J21" s="78" t="str">
        <x:f>IF(H21="","",E21-H21)</x:f>
      </x:c>
      <x:c r="K21" s="78" t="str">
        <x:f>IF(OR(H21="",I21=""),"",MAX(0,MIN(E21,I21)-H21))</x:f>
      </x:c>
      <x:c r="L21" s="50" t="str">
        <x:f>IF(H21="","待评分",IF(H21/E21&lt;0.4,"严重短板",IF(H21/E21&lt;0.7,"重点提升",IF(H21/E21&lt;0.9,"可优化","优势保持"))))</x:f>
        <x:v>待评分</x:v>
      </x:c>
      <x:c r="M21" s="50" t="inlineStr">
        <x:is>
          <x:t xml:space="preserve">引用网络参考分</x:t>
        </x:is>
      </x:c>
      <x:c r="N21" s="50" t="inlineStr">
        <x:is>
          <x:t xml:space="preserve">提高核心专利质量与被引关系；无平台数据时保守计分</x:t>
        </x:is>
      </x:c>
      <x:c r="O21" s="50" t="str">
        <x:v>系统专属代理或待系统</x:v>
      </x:c>
    </x:row>
    <x:row r="22">
      <x:c r="A22" s="50" t="n">
        <x:v>18</x:v>
      </x:c>
      <x:c r="B22" s="50" t="inlineStr">
        <x:is>
          <x:t xml:space="preserve">创新能力</x:t>
        </x:is>
      </x:c>
      <x:c r="C22" s="50" t="inlineStr">
        <x:is>
          <x:t xml:space="preserve">创新组织</x:t>
        </x:is>
      </x:c>
      <x:c r="D22" s="50" t="inlineStr">
        <x:is>
          <x:t xml:space="preserve">研发机构建设水平</x:t>
        </x:is>
      </x:c>
      <x:c r="E22" s="50" t="n">
        <x:v>10</x:v>
      </x:c>
      <x:c r="F22" s="78" t="str">
        <x:f>IF('客户数据录入'!C31="","",IF('客户数据录入'!C31="国家级",10,IF('客户数据录入'!C31="省部级",5,IF('客户数据录入'!C31="自建",3,0))))</x:f>
      </x:c>
      <x:c r="G22" s="81" t="str"/>
      <x:c r="H22" s="78" t="str">
        <x:f>IF(G22&lt;&gt;"",MIN(E22,MAX(0,G22)),F22)</x:f>
      </x:c>
      <x:c r="I22" s="81" t="str"/>
      <x:c r="J22" s="78" t="str">
        <x:f>IF(H22="","",E22-H22)</x:f>
      </x:c>
      <x:c r="K22" s="78" t="str">
        <x:f>IF(OR(H22="",I22=""),"",MAX(0,MIN(E22,I22)-H22))</x:f>
      </x:c>
      <x:c r="L22" s="50" t="str">
        <x:f>IF(H22="","待评分",IF(H22/E22&lt;0.4,"严重短板",IF(H22/E22&lt;0.7,"重点提升",IF(H22/E22&lt;0.9,"可优化","优势保持"))))</x:f>
        <x:v>待评分</x:v>
      </x:c>
      <x:c r="M22" s="50" t="inlineStr">
        <x:is>
          <x:t xml:space="preserve">研发机构层级</x:t>
        </x:is>
      </x:c>
      <x:c r="N22" s="50" t="inlineStr">
        <x:is>
          <x:t xml:space="preserve">优先完善自建研发机构，再争取省部级认定</x:t>
        </x:is>
      </x:c>
      <x:c r="O22" s="50" t="str">
        <x:v>政策明确原始分值</x:v>
      </x:c>
    </x:row>
    <x:row r="23">
      <x:c r="A23" s="50" t="n">
        <x:v>19</x:v>
      </x:c>
      <x:c r="B23" s="50" t="inlineStr">
        <x:is>
          <x:t xml:space="preserve">创新能力</x:t>
        </x:is>
      </x:c>
      <x:c r="C23" s="50" t="inlineStr">
        <x:is>
          <x:t xml:space="preserve">创新组织</x:t>
        </x:is>
      </x:c>
      <x:c r="D23" s="50" t="inlineStr">
        <x:is>
          <x:t xml:space="preserve">研发人员数量及占比</x:t>
        </x:is>
      </x:c>
      <x:c r="E23" s="50" t="n">
        <x:v>5</x:v>
      </x:c>
      <x:c r="F23" s="78" t="str">
        <x:f>IF('客户数据录入'!C30="","",IF('客户数据录入'!C30&gt;=0.2,5,IF('客户数据录入'!C30&gt;=0.15,4,IF('客户数据录入'!C30&gt;=0.1,3,IF('客户数据录入'!C30&gt;=0.075,2,IF('客户数据录入'!C30&gt;=0.05,1,0))))))</x:f>
      </x:c>
      <x:c r="G23" s="81" t="str"/>
      <x:c r="H23" s="78" t="str">
        <x:f>IF(G23&lt;&gt;"",MIN(E23,MAX(0,G23)),F23)</x:f>
      </x:c>
      <x:c r="I23" s="81" t="str"/>
      <x:c r="J23" s="78" t="str">
        <x:f>IF(H23="","",E23-H23)</x:f>
      </x:c>
      <x:c r="K23" s="78" t="str">
        <x:f>IF(OR(H23="",I23=""),"",MAX(0,MIN(E23,I23)-H23))</x:f>
      </x:c>
      <x:c r="L23" s="50" t="str">
        <x:f>IF(H23="","待评分",IF(H23/E23&lt;0.4,"严重短板",IF(H23/E23&lt;0.7,"重点提升",IF(H23/E23&lt;0.9,"可优化","优势保持"))))</x:f>
        <x:v>待评分</x:v>
      </x:c>
      <x:c r="M23" s="50" t="inlineStr">
        <x:is>
          <x:t xml:space="preserve">研发人员占比</x:t>
        </x:is>
      </x:c>
      <x:c r="N23" s="50" t="inlineStr">
        <x:is>
          <x:t xml:space="preserve">优化研发岗位名册、职责和社保一致性，目标不低于下一档</x:t>
        </x:is>
      </x:c>
      <x:c r="O23" s="50" t="str">
        <x:v>前期预评估口径</x:v>
      </x:c>
    </x:row>
    <x:row r="24">
      <x:c r="A24" s="50" t="n">
        <x:v>20</x:v>
      </x:c>
      <x:c r="B24" s="50" t="inlineStr">
        <x:is>
          <x:t xml:space="preserve">成长性</x:t>
        </x:is>
      </x:c>
      <x:c r="C24" s="50" t="inlineStr">
        <x:is>
          <x:t xml:space="preserve">市场扩张</x:t>
        </x:is>
      </x:c>
      <x:c r="D24" s="50" t="inlineStr">
        <x:is>
          <x:t xml:space="preserve">营业收入增长率超出行业均值情况</x:t>
        </x:is>
      </x:c>
      <x:c r="E24" s="50" t="n">
        <x:v>5</x:v>
      </x:c>
      <x:c r="F24" s="78" t="str">
        <x:f>IF(OR('客户数据录入'!C69="",'客户数据录入'!C70=""),"",IF('客户数据录入'!C69-'客户数据录入'!C70&gt;=0.05,5,IF('客户数据录入'!C69-'客户数据录入'!C70&gt;=0.02,4,IF('客户数据录入'!C69-'客户数据录入'!C70&gt;=0,3,IF('客户数据录入'!C69-'客户数据录入'!C70&gt;=-0.02,2,1)))))</x:f>
      </x:c>
      <x:c r="G24" s="81" t="str"/>
      <x:c r="H24" s="78" t="str">
        <x:f>IF(G24&lt;&gt;"",MIN(E24,MAX(0,G24)),F24)</x:f>
      </x:c>
      <x:c r="I24" s="81" t="str"/>
      <x:c r="J24" s="78" t="str">
        <x:f>IF(H24="","",E24-H24)</x:f>
      </x:c>
      <x:c r="K24" s="78" t="str">
        <x:f>IF(OR(H24="",I24=""),"",MAX(0,MIN(E24,I24)-H24))</x:f>
      </x:c>
      <x:c r="L24" s="50" t="str">
        <x:f>IF(H24="","待评分",IF(H24/E24&lt;0.4,"严重短板",IF(H24/E24&lt;0.7,"重点提升",IF(H24/E24&lt;0.9,"可优化","优势保持"))))</x:f>
        <x:v>待评分</x:v>
      </x:c>
      <x:c r="M24" s="50" t="inlineStr">
        <x:is>
          <x:t xml:space="preserve">企业/行业营收增速</x:t>
        </x:is>
      </x:c>
      <x:c r="N24" s="50" t="inlineStr">
        <x:is>
          <x:t xml:space="preserve">聚焦高增长主导产品和优质客户，减少非主业波动</x:t>
        </x:is>
      </x:c>
      <x:c r="O24" s="50" t="str">
        <x:v>统计局行业代理</x:v>
      </x:c>
    </x:row>
    <x:row r="25">
      <x:c r="A25" s="50" t="n">
        <x:v>21</x:v>
      </x:c>
      <x:c r="B25" s="50" t="inlineStr">
        <x:is>
          <x:t xml:space="preserve">成长性</x:t>
        </x:is>
      </x:c>
      <x:c r="C25" s="50" t="inlineStr">
        <x:is>
          <x:t xml:space="preserve">盈利提升</x:t>
        </x:is>
      </x:c>
      <x:c r="D25" s="50" t="inlineStr">
        <x:is>
          <x:t xml:space="preserve">利润增长率超出行业均值情况</x:t>
        </x:is>
      </x:c>
      <x:c r="E25" s="50" t="n">
        <x:v>5</x:v>
      </x:c>
      <x:c r="F25" s="78" t="str">
        <x:f>IF(OR('客户数据录入'!C71="",'客户数据录入'!C72=""),"",IF('客户数据录入'!C71-'客户数据录入'!C72&gt;=0.05,5,IF('客户数据录入'!C71-'客户数据录入'!C72&gt;=0.02,4,IF('客户数据录入'!C71-'客户数据录入'!C72&gt;=0,3,IF('客户数据录入'!C71-'客户数据录入'!C72&gt;=-0.02,2,1)))))</x:f>
      </x:c>
      <x:c r="G25" s="81" t="str"/>
      <x:c r="H25" s="78" t="str">
        <x:f>IF(G25&lt;&gt;"",MIN(E25,MAX(0,G25)),F25)</x:f>
      </x:c>
      <x:c r="I25" s="81" t="str"/>
      <x:c r="J25" s="78" t="str">
        <x:f>IF(H25="","",E25-H25)</x:f>
      </x:c>
      <x:c r="K25" s="78" t="str">
        <x:f>IF(OR(H25="",I25=""),"",MAX(0,MIN(E25,I25)-H25))</x:f>
      </x:c>
      <x:c r="L25" s="50" t="str">
        <x:f>IF(H25="","待评分",IF(H25/E25&lt;0.4,"严重短板",IF(H25/E25&lt;0.7,"重点提升",IF(H25/E25&lt;0.9,"可优化","优势保持"))))</x:f>
        <x:v>待评分</x:v>
      </x:c>
      <x:c r="M25" s="50" t="inlineStr">
        <x:is>
          <x:t xml:space="preserve">企业/行业利润增速</x:t>
        </x:is>
      </x:c>
      <x:c r="N25" s="50" t="inlineStr">
        <x:is>
          <x:t xml:space="preserve">改善产品结构、成本和费用，使利润增长与收入增长匹配</x:t>
        </x:is>
      </x:c>
      <x:c r="O25" s="50" t="str">
        <x:v>统计局行业代理</x:v>
      </x:c>
    </x:row>
    <x:row r="26">
      <x:c r="A26" s="50" t="n">
        <x:v>22</x:v>
      </x:c>
      <x:c r="B26" s="50" t="inlineStr">
        <x:is>
          <x:t xml:space="preserve">成长性</x:t>
        </x:is>
      </x:c>
      <x:c r="C26" s="50" t="inlineStr">
        <x:is>
          <x:t xml:space="preserve">资产积累</x:t>
        </x:is>
      </x:c>
      <x:c r="D26" s="50" t="inlineStr">
        <x:is>
          <x:t xml:space="preserve">净资产增速超出行业均值情况</x:t>
        </x:is>
      </x:c>
      <x:c r="E26" s="50" t="n">
        <x:v>5</x:v>
      </x:c>
      <x:c r="F26" s="78" t="str">
        <x:f>IF(OR('客户数据录入'!C73="",'客户数据录入'!C74=""),"",IF('客户数据录入'!C73-'客户数据录入'!C74&gt;=0.05,5,IF('客户数据录入'!C73-'客户数据录入'!C74&gt;=0.02,4,IF('客户数据录入'!C73-'客户数据录入'!C74&gt;=0,3,IF('客户数据录入'!C73-'客户数据录入'!C74&gt;=-0.02,2,1)))))</x:f>
      </x:c>
      <x:c r="G26" s="81" t="str"/>
      <x:c r="H26" s="78" t="str">
        <x:f>IF(G26&lt;&gt;"",MIN(E26,MAX(0,G26)),F26)</x:f>
      </x:c>
      <x:c r="I26" s="81" t="str"/>
      <x:c r="J26" s="78" t="str">
        <x:f>IF(H26="","",E26-H26)</x:f>
      </x:c>
      <x:c r="K26" s="78" t="str">
        <x:f>IF(OR(H26="",I26=""),"",MAX(0,MIN(E26,I26)-H26))</x:f>
      </x:c>
      <x:c r="L26" s="50" t="str">
        <x:f>IF(H26="","待评分",IF(H26/E26&lt;0.4,"严重短板",IF(H26/E26&lt;0.7,"重点提升",IF(H26/E26&lt;0.9,"可优化","优势保持"))))</x:f>
        <x:v>待评分</x:v>
      </x:c>
      <x:c r="M26" s="50" t="inlineStr">
        <x:is>
          <x:t xml:space="preserve">企业/行业净资产增速</x:t>
        </x:is>
      </x:c>
      <x:c r="N26" s="50" t="inlineStr">
        <x:is>
          <x:t xml:space="preserve">增强利润留存和资本实力，控制高分红与资产减值</x:t>
        </x:is>
      </x:c>
      <x:c r="O26" s="50" t="str">
        <x:v>统计局行业代理</x:v>
      </x:c>
    </x:row>
    <x:row r="27">
      <x:c r="A27" s="53" t="n"/>
      <x:c r="B27" s="53" t="n"/>
      <x:c r="C27" s="53" t="n"/>
      <x:c r="D27" s="53" t="n"/>
      <x:c r="E27" s="53" t="n"/>
      <x:c r="F27" s="53" t="n"/>
      <x:c r="G27" s="53" t="n"/>
      <x:c r="H27" s="53" t="n"/>
      <x:c r="I27" s="53" t="n"/>
      <x:c r="J27" s="53" t="n"/>
      <x:c r="K27" s="53" t="n"/>
      <x:c r="L27" s="53" t="n"/>
      <x:c r="M27" s="53" t="n"/>
      <x:c r="N27" s="53" t="n"/>
      <x:c r="O27" s="53" t="n"/>
    </x:row>
    <x:row r="28">
      <x:c r="A28" s="54" t="inlineStr">
        <x:is>
          <x:t xml:space="preserve">总分与五维汇总</x:t>
        </x:is>
      </x:c>
    </x:row>
    <x:row r="29">
      <x:c r="A29" s="69" t="inlineStr">
        <x:is>
          <x:t xml:space="preserve">合计</x:t>
        </x:is>
      </x:c>
      <x:c r="B29" s="69" t="str"/>
      <x:c r="C29" s="69" t="str"/>
      <x:c r="D29" s="69" t="str"/>
      <x:c r="E29" s="69" t="n">
        <x:v>100</x:v>
      </x:c>
      <x:c r="F29" s="69" t="str"/>
      <x:c r="G29" s="69" t="str"/>
      <x:c r="H29" s="69" t="n">
        <x:f>SUM(H5:H26)</x:f>
        <x:v>0</x:v>
      </x:c>
      <x:c r="I29" s="69" t="str"/>
      <x:c r="J29" s="69" t="n">
        <x:f>SUM(J5:J26)</x:f>
        <x:v>0</x:v>
      </x:c>
      <x:c r="K29" s="69" t="n">
        <x:f>SUM(K5:K26)</x:f>
        <x:v>0</x:v>
      </x:c>
      <x:c r="L29" s="69" t="str"/>
      <x:c r="M29" s="69" t="str"/>
      <x:c r="N29" s="69" t="str"/>
      <x:c r="O29" s="69" t="str"/>
    </x:row>
    <x:row r="30">
      <x:c r="A30" s="53" t="n"/>
      <x:c r="B30" s="53" t="n"/>
      <x:c r="C30" s="53" t="n"/>
      <x:c r="D30" s="53" t="n"/>
      <x:c r="E30" s="53" t="n"/>
      <x:c r="F30" s="53" t="n"/>
      <x:c r="G30" s="53" t="n"/>
      <x:c r="H30" s="53" t="n"/>
      <x:c r="I30" s="53" t="n"/>
      <x:c r="J30" s="53" t="n"/>
      <x:c r="K30" s="53" t="n"/>
      <x:c r="L30" s="53" t="n"/>
      <x:c r="M30" s="53" t="n"/>
      <x:c r="N30" s="53" t="n"/>
      <x:c r="O30" s="53" t="n"/>
    </x:row>
    <x:row r="31">
      <x:c r="A31" s="53" t="n"/>
      <x:c r="B31" s="53" t="n"/>
      <x:c r="C31" s="53" t="n"/>
      <x:c r="D31" s="53" t="n"/>
      <x:c r="E31" s="53" t="n"/>
      <x:c r="F31" s="53" t="n"/>
      <x:c r="G31" s="53" t="n"/>
      <x:c r="H31" s="53" t="n"/>
      <x:c r="I31" s="53" t="n"/>
      <x:c r="J31" s="53" t="n"/>
      <x:c r="K31" s="53" t="n"/>
      <x:c r="L31" s="53" t="n"/>
      <x:c r="M31" s="53" t="n"/>
      <x:c r="N31" s="53" t="n"/>
      <x:c r="O31" s="53" t="n"/>
    </x:row>
    <x:row r="32">
      <x:c r="A32" s="49" t="inlineStr">
        <x:is>
          <x:t xml:space="preserve">一级指标</x:t>
        </x:is>
      </x:c>
      <x:c r="B32" s="49" t="inlineStr">
        <x:is>
          <x:t xml:space="preserve">满分</x:t>
        </x:is>
      </x:c>
      <x:c r="C32" s="49" t="inlineStr">
        <x:is>
          <x:t xml:space="preserve">当前得分</x:t>
        </x:is>
      </x:c>
      <x:c r="D32" s="49" t="inlineStr">
        <x:is>
          <x:t xml:space="preserve">目标得分</x:t>
        </x:is>
      </x:c>
      <x:c r="E32" s="53" t="n"/>
      <x:c r="F32" s="53" t="n"/>
      <x:c r="G32" s="53" t="n"/>
      <x:c r="H32" s="53" t="n"/>
      <x:c r="I32" s="53" t="n"/>
      <x:c r="J32" s="53" t="n"/>
      <x:c r="K32" s="53" t="n"/>
      <x:c r="L32" s="53" t="n"/>
      <x:c r="M32" s="53" t="n"/>
      <x:c r="N32" s="53" t="n"/>
      <x:c r="O32" s="53" t="n"/>
    </x:row>
    <x:row r="33">
      <x:c r="A33" s="50" t="inlineStr">
        <x:is>
          <x:t xml:space="preserve">专业化</x:t>
        </x:is>
      </x:c>
      <x:c r="B33" s="78" t="n">
        <x:v>15</x:v>
      </x:c>
      <x:c r="C33" s="78" t="n">
        <x:f>SUMIF($B$5:$B$26,A33,$H$5:$H$26)</x:f>
        <x:v>0</x:v>
      </x:c>
      <x:c r="D33" s="78" t="n">
        <x:f>SUMIF($B$5:$B$26,A33,$I$5:$I$26)</x:f>
        <x:v>0</x:v>
      </x:c>
      <x:c r="E33" s="53" t="n"/>
      <x:c r="F33" s="53" t="n"/>
      <x:c r="G33" s="53" t="n"/>
      <x:c r="H33" s="53" t="n"/>
      <x:c r="I33" s="53" t="n"/>
      <x:c r="J33" s="53" t="n"/>
      <x:c r="K33" s="53" t="n"/>
      <x:c r="L33" s="53" t="n"/>
      <x:c r="M33" s="53" t="n"/>
      <x:c r="N33" s="53" t="n"/>
      <x:c r="O33" s="53" t="n"/>
    </x:row>
    <x:row r="34">
      <x:c r="A34" s="50" t="inlineStr">
        <x:is>
          <x:t xml:space="preserve">精细化</x:t>
        </x:is>
      </x:c>
      <x:c r="B34" s="78" t="n">
        <x:v>20</x:v>
      </x:c>
      <x:c r="C34" s="78" t="n">
        <x:f>SUMIF($B$5:$B$26,A34,$H$5:$H$26)</x:f>
        <x:v>0</x:v>
      </x:c>
      <x:c r="D34" s="78" t="n">
        <x:f>SUMIF($B$5:$B$26,A34,$I$5:$I$26)</x:f>
        <x:v>0</x:v>
      </x:c>
      <x:c r="E34" s="53" t="n"/>
      <x:c r="F34" s="53" t="n"/>
      <x:c r="G34" s="53" t="n"/>
      <x:c r="H34" s="53" t="n"/>
      <x:c r="I34" s="53" t="n"/>
      <x:c r="J34" s="53" t="n"/>
      <x:c r="K34" s="53" t="n"/>
      <x:c r="L34" s="53" t="n"/>
      <x:c r="M34" s="53" t="n"/>
      <x:c r="N34" s="53" t="n"/>
      <x:c r="O34" s="53" t="n"/>
    </x:row>
    <x:row r="35">
      <x:c r="A35" s="50" t="inlineStr">
        <x:is>
          <x:t xml:space="preserve">特色化</x:t>
        </x:is>
      </x:c>
      <x:c r="B35" s="78" t="n">
        <x:v>15</x:v>
      </x:c>
      <x:c r="C35" s="78" t="n">
        <x:f>SUMIF($B$5:$B$26,A35,$H$5:$H$26)</x:f>
        <x:v>0</x:v>
      </x:c>
      <x:c r="D35" s="78" t="n">
        <x:f>SUMIF($B$5:$B$26,A35,$I$5:$I$26)</x:f>
        <x:v>0</x:v>
      </x:c>
      <x:c r="E35" s="53" t="n"/>
      <x:c r="F35" s="53" t="n"/>
      <x:c r="G35" s="53" t="n"/>
      <x:c r="H35" s="53" t="n"/>
      <x:c r="I35" s="53" t="n"/>
      <x:c r="J35" s="53" t="n"/>
      <x:c r="K35" s="53" t="n"/>
      <x:c r="L35" s="53" t="n"/>
      <x:c r="M35" s="53" t="n"/>
      <x:c r="N35" s="53" t="n"/>
      <x:c r="O35" s="53" t="n"/>
    </x:row>
    <x:row r="36">
      <x:c r="A36" s="50" t="inlineStr">
        <x:is>
          <x:t xml:space="preserve">创新能力</x:t>
        </x:is>
      </x:c>
      <x:c r="B36" s="78" t="n">
        <x:v>35</x:v>
      </x:c>
      <x:c r="C36" s="78" t="n">
        <x:f>SUMIF($B$5:$B$26,A36,$H$5:$H$26)</x:f>
        <x:v>0</x:v>
      </x:c>
      <x:c r="D36" s="78" t="n">
        <x:f>SUMIF($B$5:$B$26,A36,$I$5:$I$26)</x:f>
        <x:v>0</x:v>
      </x:c>
      <x:c r="E36" s="53" t="n"/>
      <x:c r="F36" s="53" t="n"/>
      <x:c r="G36" s="53" t="n"/>
      <x:c r="H36" s="53" t="n"/>
      <x:c r="I36" s="53" t="n"/>
      <x:c r="J36" s="53" t="n"/>
      <x:c r="K36" s="53" t="n"/>
      <x:c r="L36" s="53" t="n"/>
      <x:c r="M36" s="53" t="n"/>
      <x:c r="N36" s="53" t="n"/>
      <x:c r="O36" s="53" t="n"/>
    </x:row>
    <x:row r="37">
      <x:c r="A37" s="50" t="inlineStr">
        <x:is>
          <x:t xml:space="preserve">成长性</x:t>
        </x:is>
      </x:c>
      <x:c r="B37" s="78" t="n">
        <x:v>15</x:v>
      </x:c>
      <x:c r="C37" s="78" t="n">
        <x:f>SUMIF($B$5:$B$26,A37,$H$5:$H$26)</x:f>
        <x:v>0</x:v>
      </x:c>
      <x:c r="D37" s="78" t="n">
        <x:f>SUMIF($B$5:$B$26,A37,$I$5:$I$26)</x:f>
        <x:v>0</x:v>
      </x:c>
      <x:c r="E37" s="53" t="n"/>
      <x:c r="F37" s="53" t="n"/>
      <x:c r="G37" s="53" t="n"/>
      <x:c r="H37" s="53" t="n"/>
      <x:c r="I37" s="53" t="n"/>
      <x:c r="J37" s="53" t="n"/>
      <x:c r="K37" s="53" t="n"/>
      <x:c r="L37" s="53" t="n"/>
      <x:c r="M37" s="53" t="n"/>
      <x:c r="N37" s="53" t="n"/>
      <x:c r="O37" s="53" t="n"/>
    </x:row>
  </x:sheetData>
  <x:mergeCells>
    <x:mergeCell ref="A1:O1"/>
    <x:mergeCell ref="A28:O28"/>
    <x:mergeCell ref="A2:O2"/>
  </x:mergeCells>
  <x:conditionalFormatting sqref="L5:L26">
    <x:cfRule type="containsText" dxfId="0" priority="1" operator="containsText" text="严重短板"/>
    <x:cfRule type="containsText" dxfId="1" priority="2" operator="containsText" text="重点提升"/>
    <x:cfRule type="containsText" dxfId="2" priority="3" operator="containsText" text="优势保持"/>
  </x:conditionalFormatting>
  <x:dataValidations count="1">
    <x:dataValidation type="decimal" operator="between" allowBlank="0" showDropDown="0" showInputMessage="0" showErrorMessage="0" sqref="G5:I26">
      <x:formula1>0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dd3e0459b340455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14" customWidth="1"/>
    <x:col min="3" max="3" width="18" customWidth="1"/>
    <x:col min="4" max="4" width="35" customWidth="1"/>
    <x:col min="5" max="5" width="22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</x:cols>
  <x:sheetData>
    <x:row r="1" ht="34" customHeight="1">
      <x:c r="A1" s="46" t="inlineStr">
        <x:is>
          <x:t xml:space="preserve">客户诊断看板</x:t>
        </x:is>
      </x:c>
    </x:row>
    <x:row r="2" ht="32" customHeight="1">
      <x:c r="A2" s="52" t="inlineStr">
        <x:is>
          <x:t xml:space="preserve">先看硬门槛，再看质量分。当前分仅在22个评分单元全部有值时形成正式预诊断。</x:t>
        </x:is>
      </x:c>
    </x:row>
    <x:row r="3">
      <x:c r="A3" s="53" t="n"/>
      <x:c r="B3" s="53" t="n"/>
      <x:c r="C3" s="53" t="n"/>
      <x:c r="D3" s="53" t="n"/>
      <x:c r="E3" s="53" t="n"/>
      <x:c r="F3" s="53" t="n"/>
      <x:c r="G3" s="53" t="n"/>
      <x:c r="H3" s="53" t="n"/>
      <x:c r="I3" s="53" t="n"/>
      <x:c r="J3" s="53" t="n"/>
    </x:row>
    <x:row r="4">
      <x:c r="A4" s="69" t="inlineStr">
        <x:is>
          <x:t xml:space="preserve">企业名称</x:t>
        </x:is>
      </x:c>
      <x:c r="B4" s="69" t="str">
        <x:f>IF('客户数据录入'!C6="","",'客户数据录入'!C6)</x:f>
      </x:c>
      <x:c r="C4" s="69" t="n"/>
      <x:c r="D4" s="69" t="inlineStr">
        <x:is>
          <x:t xml:space="preserve">申报类型</x:t>
        </x:is>
      </x:c>
      <x:c r="E4" s="69" t="str">
        <x:f>'客户数据录入'!C5</x:f>
        <x:v>专精特新中小企业</x:v>
      </x:c>
      <x:c r="F4" s="69" t="n"/>
      <x:c r="G4" s="69" t="inlineStr">
        <x:is>
          <x:t xml:space="preserve">申报性质</x:t>
        </x:is>
      </x:c>
      <x:c r="H4" s="69" t="str">
        <x:f>'客户数据录入'!C7</x:f>
        <x:v>新申报</x:v>
      </x:c>
      <x:c r="I4" s="53" t="n"/>
      <x:c r="J4" s="53" t="n"/>
    </x:row>
    <x:row r="5">
      <x:c r="A5" s="53" t="n"/>
      <x:c r="B5" s="53" t="n"/>
      <x:c r="C5" s="53" t="n"/>
      <x:c r="D5" s="53" t="n"/>
      <x:c r="E5" s="53" t="n"/>
      <x:c r="F5" s="53" t="n"/>
      <x:c r="G5" s="53" t="n"/>
      <x:c r="H5" s="53" t="n"/>
      <x:c r="I5" s="53" t="n"/>
      <x:c r="J5" s="53" t="n"/>
    </x:row>
    <x:row r="6">
      <x:c r="A6" s="70" t="inlineStr">
        <x:is>
          <x:t xml:space="preserve">硬门槛</x:t>
        </x:is>
      </x:c>
      <x:c r="B6" s="73" t="n"/>
      <x:c r="C6" s="70" t="inlineStr">
        <x:is>
          <x:t xml:space="preserve">当前质量分</x:t>
        </x:is>
      </x:c>
      <x:c r="D6" s="73" t="n"/>
      <x:c r="E6" s="70" t="inlineStr">
        <x:is>
          <x:t xml:space="preserve">达标线</x:t>
        </x:is>
      </x:c>
      <x:c r="F6" s="73" t="n"/>
      <x:c r="G6" s="70" t="inlineStr">
        <x:is>
          <x:t xml:space="preserve">综合预诊断</x:t>
        </x:is>
      </x:c>
      <x:c r="H6" s="73" t="n"/>
      <x:c r="I6" s="53" t="n"/>
      <x:c r="J6" s="53" t="n"/>
    </x:row>
    <x:row r="7">
      <x:c r="A7" s="71" t="str">
        <x:f>'硬门槛核验'!F29</x:f>
        <x:v>待核验</x:v>
      </x:c>
      <x:c r="B7" s="82" t="n"/>
      <x:c r="C7" s="71" t="n">
        <x:f>'评分底稿'!H29</x:f>
        <x:v>0</x:v>
      </x:c>
      <x:c r="D7" s="82" t="n"/>
      <x:c r="E7" s="71" t="n">
        <x:f>IF('客户数据录入'!C5="专精特新中小企业",50,60)</x:f>
        <x:v>50</x:v>
      </x:c>
      <x:c r="F7" s="82" t="n"/>
      <x:c r="G7" s="71" t="str">
        <x:f>IF(COUNT('评分底稿'!H5:H26)&lt;22,"待完成评分",IF('硬门槛核验'!F29&lt;&gt;"通过","先补硬门槛",IF('评分底稿'!H29&gt;=E7,"达到模型线","质量分不足")))</x:f>
        <x:v>待完成评分</x:v>
      </x:c>
      <x:c r="H7" s="82" t="n"/>
      <x:c r="I7" s="53" t="n"/>
      <x:c r="J7" s="53" t="n"/>
    </x:row>
    <x:row r="8">
      <x:c r="A8" s="83" t="n"/>
      <x:c r="B8" s="84" t="n"/>
      <x:c r="C8" s="83" t="n"/>
      <x:c r="D8" s="84" t="n"/>
      <x:c r="E8" s="83" t="n"/>
      <x:c r="F8" s="84" t="n"/>
      <x:c r="G8" s="83" t="n"/>
      <x:c r="H8" s="84" t="n"/>
      <x:c r="I8" s="53" t="n"/>
      <x:c r="J8" s="53" t="n"/>
    </x:row>
    <x:row r="9">
      <x:c r="A9" s="53" t="n"/>
      <x:c r="B9" s="53" t="n"/>
      <x:c r="C9" s="53" t="n"/>
      <x:c r="D9" s="53" t="n"/>
      <x:c r="E9" s="53" t="n"/>
      <x:c r="F9" s="53" t="n"/>
      <x:c r="G9" s="53" t="n"/>
      <x:c r="H9" s="53" t="n"/>
      <x:c r="I9" s="53" t="n"/>
      <x:c r="J9" s="53" t="n"/>
    </x:row>
    <x:row r="10">
      <x:c r="A10" s="53" t="n"/>
      <x:c r="B10" s="53" t="n"/>
      <x:c r="C10" s="53" t="n"/>
      <x:c r="D10" s="53" t="n"/>
      <x:c r="E10" s="53" t="n"/>
      <x:c r="F10" s="53" t="n"/>
      <x:c r="G10" s="53" t="n"/>
      <x:c r="H10" s="53" t="n"/>
      <x:c r="I10" s="53" t="n"/>
      <x:c r="J10" s="53" t="n"/>
    </x:row>
    <x:row r="11">
      <x:c r="A11" s="49" t="inlineStr">
        <x:is>
          <x:t xml:space="preserve">一级指标</x:t>
        </x:is>
      </x:c>
      <x:c r="B11" s="49" t="inlineStr">
        <x:is>
          <x:t xml:space="preserve">满分</x:t>
        </x:is>
      </x:c>
      <x:c r="C11" s="49" t="inlineStr">
        <x:is>
          <x:t xml:space="preserve">当前得分</x:t>
        </x:is>
      </x:c>
      <x:c r="D11" s="49" t="inlineStr">
        <x:is>
          <x:t xml:space="preserve">目标得分</x:t>
        </x:is>
      </x:c>
      <x:c r="E11" s="53" t="n"/>
      <x:c r="F11" s="53" t="n"/>
      <x:c r="G11" s="53" t="n"/>
      <x:c r="H11" s="53" t="n"/>
      <x:c r="I11" s="53" t="n"/>
      <x:c r="J11" s="53" t="n"/>
    </x:row>
    <x:row r="12">
      <x:c r="A12" s="50" t="inlineStr">
        <x:is>
          <x:t xml:space="preserve">专业化</x:t>
        </x:is>
      </x:c>
      <x:c r="B12" s="78" t="n">
        <x:v>15</x:v>
      </x:c>
      <x:c r="C12" s="78" t="n">
        <x:f>'评分底稿'!C33</x:f>
        <x:v>0</x:v>
      </x:c>
      <x:c r="D12" s="78" t="n">
        <x:f>'评分底稿'!D33</x:f>
        <x:v>0</x:v>
      </x:c>
      <x:c r="E12" s="53" t="n"/>
      <x:c r="F12" s="53" t="n"/>
      <x:c r="G12" s="53" t="n"/>
      <x:c r="H12" s="53" t="n"/>
      <x:c r="I12" s="53" t="n"/>
      <x:c r="J12" s="53" t="n"/>
    </x:row>
    <x:row r="13">
      <x:c r="A13" s="50" t="inlineStr">
        <x:is>
          <x:t xml:space="preserve">精细化</x:t>
        </x:is>
      </x:c>
      <x:c r="B13" s="78" t="n">
        <x:v>20</x:v>
      </x:c>
      <x:c r="C13" s="78" t="n">
        <x:f>'评分底稿'!C34</x:f>
        <x:v>0</x:v>
      </x:c>
      <x:c r="D13" s="78" t="n">
        <x:f>'评分底稿'!D34</x:f>
        <x:v>0</x:v>
      </x:c>
      <x:c r="E13" s="53" t="n"/>
      <x:c r="F13" s="53" t="n"/>
      <x:c r="G13" s="53" t="n"/>
      <x:c r="H13" s="53" t="n"/>
      <x:c r="I13" s="53" t="n"/>
      <x:c r="J13" s="53" t="n"/>
    </x:row>
    <x:row r="14">
      <x:c r="A14" s="50" t="inlineStr">
        <x:is>
          <x:t xml:space="preserve">特色化</x:t>
        </x:is>
      </x:c>
      <x:c r="B14" s="78" t="n">
        <x:v>15</x:v>
      </x:c>
      <x:c r="C14" s="78" t="n">
        <x:f>'评分底稿'!C35</x:f>
        <x:v>0</x:v>
      </x:c>
      <x:c r="D14" s="78" t="n">
        <x:f>'评分底稿'!D35</x:f>
        <x:v>0</x:v>
      </x:c>
      <x:c r="E14" s="53" t="n"/>
      <x:c r="F14" s="53" t="n"/>
      <x:c r="G14" s="53" t="n"/>
      <x:c r="H14" s="53" t="n"/>
      <x:c r="I14" s="53" t="n"/>
      <x:c r="J14" s="53" t="n"/>
    </x:row>
    <x:row r="15">
      <x:c r="A15" s="50" t="inlineStr">
        <x:is>
          <x:t xml:space="preserve">创新能力</x:t>
        </x:is>
      </x:c>
      <x:c r="B15" s="78" t="n">
        <x:v>35</x:v>
      </x:c>
      <x:c r="C15" s="78" t="n">
        <x:f>'评分底稿'!C36</x:f>
        <x:v>0</x:v>
      </x:c>
      <x:c r="D15" s="78" t="n">
        <x:f>'评分底稿'!D36</x:f>
        <x:v>0</x:v>
      </x:c>
      <x:c r="E15" s="53" t="n"/>
      <x:c r="F15" s="53" t="n"/>
      <x:c r="G15" s="53" t="n"/>
      <x:c r="H15" s="53" t="n"/>
      <x:c r="I15" s="53" t="n"/>
      <x:c r="J15" s="53" t="n"/>
    </x:row>
    <x:row r="16">
      <x:c r="A16" s="50" t="inlineStr">
        <x:is>
          <x:t xml:space="preserve">成长性</x:t>
        </x:is>
      </x:c>
      <x:c r="B16" s="78" t="n">
        <x:v>15</x:v>
      </x:c>
      <x:c r="C16" s="78" t="n">
        <x:f>'评分底稿'!C37</x:f>
        <x:v>0</x:v>
      </x:c>
      <x:c r="D16" s="78" t="n">
        <x:f>'评分底稿'!D37</x:f>
        <x:v>0</x:v>
      </x:c>
      <x:c r="E16" s="53" t="n"/>
      <x:c r="F16" s="53" t="n"/>
      <x:c r="G16" s="53" t="n"/>
      <x:c r="H16" s="53" t="n"/>
      <x:c r="I16" s="53" t="n"/>
      <x:c r="J16" s="53" t="n"/>
    </x:row>
    <x:row r="17">
      <x:c r="A17" s="53" t="n"/>
      <x:c r="B17" s="53" t="n"/>
      <x:c r="C17" s="53" t="n"/>
      <x:c r="D17" s="53" t="n"/>
      <x:c r="E17" s="53" t="n"/>
      <x:c r="F17" s="53" t="n"/>
      <x:c r="G17" s="53" t="n"/>
      <x:c r="H17" s="53" t="n"/>
      <x:c r="I17" s="53" t="n"/>
      <x:c r="J17" s="53" t="n"/>
    </x:row>
    <x:row r="18">
      <x:c r="A18" s="53" t="n"/>
      <x:c r="B18" s="53" t="n"/>
      <x:c r="C18" s="53" t="n"/>
      <x:c r="D18" s="53" t="n"/>
      <x:c r="E18" s="53" t="n"/>
      <x:c r="F18" s="53" t="n"/>
      <x:c r="G18" s="53" t="n"/>
      <x:c r="H18" s="53" t="n"/>
      <x:c r="I18" s="53" t="n"/>
      <x:c r="J18" s="53" t="n"/>
    </x:row>
    <x:row r="19">
      <x:c r="A19" s="49" t="inlineStr">
        <x:is>
          <x:t xml:space="preserve">优先级提示</x:t>
        </x:is>
      </x:c>
      <x:c r="B19" s="49" t="inlineStr">
        <x:is>
          <x:t xml:space="preserve">数值</x:t>
        </x:is>
      </x:c>
      <x:c r="C19" s="49" t="inlineStr">
        <x:is>
          <x:t xml:space="preserve">含义</x:t>
        </x:is>
      </x:c>
      <x:c r="D19" s="49" t="inlineStr">
        <x:is>
          <x:t xml:space="preserve">动作</x:t>
        </x:is>
      </x:c>
      <x:c r="E19" s="53" t="n"/>
      <x:c r="F19" s="53" t="n"/>
      <x:c r="G19" s="53" t="n"/>
      <x:c r="H19" s="53" t="n"/>
      <x:c r="I19" s="53" t="n"/>
      <x:c r="J19" s="53" t="n"/>
    </x:row>
    <x:row r="20">
      <x:c r="A20" s="50" t="inlineStr">
        <x:is>
          <x:t xml:space="preserve">评分完成度</x:t>
        </x:is>
      </x:c>
      <x:c r="B20" s="50" t="str">
        <x:f>COUNT('评分底稿'!H5:H26)&amp;"/22"</x:f>
        <x:v>0/22</x:v>
      </x:c>
      <x:c r="C20" s="50" t="inlineStr">
        <x:is>
          <x:t xml:space="preserve">已形成最终得分的评分单元数</x:t>
        </x:is>
      </x:c>
      <x:c r="D20" s="50" t="inlineStr">
        <x:is>
          <x:t xml:space="preserve">未完成时先补数据</x:t>
        </x:is>
      </x:c>
      <x:c r="E20" s="53" t="n"/>
      <x:c r="F20" s="53" t="n"/>
      <x:c r="G20" s="53" t="n"/>
      <x:c r="H20" s="53" t="n"/>
      <x:c r="I20" s="53" t="n"/>
      <x:c r="J20" s="53" t="n"/>
    </x:row>
    <x:row r="21">
      <x:c r="A21" s="50" t="inlineStr">
        <x:is>
          <x:t xml:space="preserve">当前总失分</x:t>
        </x:is>
      </x:c>
      <x:c r="B21" s="50" t="str">
        <x:f>IF(COUNT('评分底稿'!H5:H26)&lt;22,"待评分",'评分底稿'!J29)</x:f>
        <x:v>待评分</x:v>
      </x:c>
      <x:c r="C21" s="50" t="inlineStr">
        <x:is>
          <x:t xml:space="preserve">距100分的结构性差距</x:t>
        </x:is>
      </x:c>
      <x:c r="D21" s="50" t="inlineStr">
        <x:is>
          <x:t xml:space="preserve">结合可实现性筛选</x:t>
        </x:is>
      </x:c>
      <x:c r="E21" s="53" t="n"/>
      <x:c r="F21" s="53" t="n"/>
      <x:c r="G21" s="53" t="n"/>
      <x:c r="H21" s="53" t="n"/>
      <x:c r="I21" s="53" t="n"/>
      <x:c r="J21" s="53" t="n"/>
    </x:row>
    <x:row r="22">
      <x:c r="A22" s="50" t="inlineStr">
        <x:is>
          <x:t xml:space="preserve">已设目标预计增分</x:t>
        </x:is>
      </x:c>
      <x:c r="B22" s="50" t="str">
        <x:f>IF(COUNT('评分底稿'!H5:H26)&lt;22,"待设目标",'评分底稿'!K29)</x:f>
        <x:v>待设目标</x:v>
      </x:c>
      <x:c r="C22" s="50" t="inlineStr">
        <x:is>
          <x:t xml:space="preserve">目标分相对当前分的合计增量</x:t>
        </x:is>
      </x:c>
      <x:c r="D22" s="50" t="inlineStr">
        <x:is>
          <x:t xml:space="preserve">落实到提升行动</x:t>
        </x:is>
      </x:c>
      <x:c r="E22" s="53" t="n"/>
      <x:c r="F22" s="53" t="n"/>
      <x:c r="G22" s="53" t="n"/>
      <x:c r="H22" s="53" t="n"/>
      <x:c r="I22" s="53" t="n"/>
      <x:c r="J22" s="53" t="n"/>
    </x:row>
    <x:row r="23">
      <x:c r="A23" s="50" t="inlineStr">
        <x:is>
          <x:t xml:space="preserve">人工调整项数</x:t>
        </x:is>
      </x:c>
      <x:c r="B23" s="50" t="n">
        <x:f>COUNT('评分底稿'!G5:G26)</x:f>
        <x:v>0</x:v>
      </x:c>
      <x:c r="C23" s="50" t="inlineStr">
        <x:is>
          <x:t xml:space="preserve">模型分被专家判断覆盖的项目数</x:t>
        </x:is>
      </x:c>
      <x:c r="D23" s="50" t="inlineStr">
        <x:is>
          <x:t xml:space="preserve">保留调整依据</x:t>
        </x:is>
      </x:c>
      <x:c r="E23" s="53" t="n"/>
      <x:c r="F23" s="53" t="n"/>
      <x:c r="G23" s="53" t="n"/>
      <x:c r="H23" s="53" t="n"/>
      <x:c r="I23" s="53" t="n"/>
      <x:c r="J23" s="53" t="n"/>
    </x:row>
  </x:sheetData>
  <x:mergeCells>
    <x:mergeCell ref="A1:J1"/>
    <x:mergeCell ref="G7:H8"/>
    <x:mergeCell ref="E6:F6"/>
    <x:mergeCell ref="C6:D6"/>
    <x:mergeCell ref="C7:D8"/>
    <x:mergeCell ref="A7:B8"/>
    <x:mergeCell ref="E7:F8"/>
    <x:mergeCell ref="G6:H6"/>
    <x:mergeCell ref="A2:J2"/>
    <x:mergeCell ref="A6:B6"/>
  </x:mergeCells>
  <x:conditionalFormatting sqref="A7:B8">
    <x:cfRule type="containsText" dxfId="2" priority="1" operator="containsText" text="通过"/>
    <x:cfRule type="containsText" dxfId="0" priority="2" operator="containsText" text="不通过"/>
    <x:cfRule type="containsText" dxfId="5" priority="3" operator="containsText" text="待核验"/>
  </x:conditionalFormatting>
  <x:conditionalFormatting sqref="G7:H8">
    <x:cfRule type="containsText" dxfId="2" priority="4" operator="containsText" text="达到"/>
    <x:cfRule type="containsText" dxfId="0" priority="5" operator="containsText" text="不足"/>
  </x:conditionalFormatting>
  <x:pageMargins left="0.7" right="0.7" top="0.75" bottom="0.75" header="0.3" footer="0.3"/>
  <x:drawing xmlns:r="http://schemas.openxmlformats.org/officeDocument/2006/relationships" r:id="R93f491446238427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4" customWidth="1"/>
    <x:col min="3" max="3" width="12" customWidth="1"/>
    <x:col min="4" max="4" width="10" customWidth="1"/>
    <x:col min="5" max="5" width="12" customWidth="1"/>
    <x:col min="6" max="6" width="46" customWidth="1"/>
    <x:col min="7" max="7" width="16" customWidth="1"/>
    <x:col min="8" max="8" width="17" customWidth="1"/>
    <x:col min="9" max="9" width="14" customWidth="1"/>
  </x:cols>
  <x:sheetData>
    <x:row r="1" ht="34" customHeight="1">
      <x:c r="A1" s="46" t="inlineStr">
        <x:is>
          <x:t xml:space="preserve">短板对标提升行动表</x:t>
        </x:is>
      </x:c>
    </x:row>
    <x:row r="2" ht="32" customHeight="1">
      <x:c r="A2" s="52" t="inlineStr">
        <x:is>
          <x:t xml:space="preserve">建议按“硬门槛优先、预计增分优先、取得周期优先”排序。G:I列由项目组维护。</x:t>
        </x:is>
      </x:c>
    </x:row>
    <x:row r="3">
      <x:c r="A3" s="53" t="n"/>
      <x:c r="B3" s="53" t="n"/>
      <x:c r="C3" s="53" t="n"/>
      <x:c r="D3" s="53" t="n"/>
      <x:c r="E3" s="53" t="n"/>
      <x:c r="F3" s="53" t="n"/>
      <x:c r="G3" s="53" t="n"/>
      <x:c r="H3" s="53" t="n"/>
      <x:c r="I3" s="53" t="n"/>
    </x:row>
    <x:row r="4">
      <x:c r="A4" s="49" t="inlineStr">
        <x:is>
          <x:t xml:space="preserve">一级指标</x:t>
        </x:is>
      </x:c>
      <x:c r="B4" s="49" t="inlineStr">
        <x:is>
          <x:t xml:space="preserve">评分单元</x:t>
        </x:is>
      </x:c>
      <x:c r="C4" s="49" t="inlineStr">
        <x:is>
          <x:t xml:space="preserve">当前得分</x:t>
        </x:is>
      </x:c>
      <x:c r="D4" s="49" t="inlineStr">
        <x:is>
          <x:t xml:space="preserve">满分</x:t>
        </x:is>
      </x:c>
      <x:c r="E4" s="49" t="inlineStr">
        <x:is>
          <x:t xml:space="preserve">预计增分</x:t>
        </x:is>
      </x:c>
      <x:c r="F4" s="49" t="inlineStr">
        <x:is>
          <x:t xml:space="preserve">建议动作</x:t>
        </x:is>
      </x:c>
      <x:c r="G4" s="49" t="inlineStr">
        <x:is>
          <x:t xml:space="preserve">责任人</x:t>
        </x:is>
      </x:c>
      <x:c r="H4" s="49" t="inlineStr">
        <x:is>
          <x:t xml:space="preserve">计划完成日</x:t>
        </x:is>
      </x:c>
      <x:c r="I4" s="49" t="inlineStr">
        <x:is>
          <x:t xml:space="preserve">状态</x:t>
        </x:is>
      </x:c>
    </x:row>
    <x:row r="5">
      <x:c r="A5" s="50" t="str">
        <x:f>'评分底稿'!B5</x:f>
        <x:v>专业化</x:v>
      </x:c>
      <x:c r="B5" s="50" t="str">
        <x:f>'评分底稿'!D5</x:f>
        <x:v>从事细分市场年限</x:v>
      </x:c>
      <x:c r="C5" s="78" t="str">
        <x:f>IF('评分底稿'!H5="","",'评分底稿'!H5)</x:f>
      </x:c>
      <x:c r="D5" s="78" t="n">
        <x:f>'评分底稿'!E5</x:f>
        <x:v>2</x:v>
      </x:c>
      <x:c r="E5" s="78" t="str">
        <x:f>IF('评分底稿'!K5="","",'评分底稿'!K5)</x:f>
      </x:c>
      <x:c r="F5" s="50" t="str">
        <x:f>'评分底稿'!N5</x:f>
        <x:v>梳理细分市场持续经营证据；短期不可改变，重点补足其他专业化项</x:v>
      </x:c>
      <x:c r="G5" s="55" t="n"/>
      <x:c r="H5" s="55" t="n"/>
      <x:c r="I5" s="55" t="n"/>
    </x:row>
    <x:row r="6">
      <x:c r="A6" s="50" t="str">
        <x:f>'评分底稿'!B6</x:f>
        <x:v>专业化</x:v>
      </x:c>
      <x:c r="B6" s="50" t="str">
        <x:f>'评分底稿'!D6</x:f>
        <x:v>细分行业营业收入排名</x:v>
      </x:c>
      <x:c r="C6" s="78" t="str">
        <x:f>IF('评分底稿'!H6="","",'评分底稿'!H6)</x:f>
      </x:c>
      <x:c r="D6" s="78" t="n">
        <x:f>'评分底稿'!E6</x:f>
        <x:v>3</x:v>
      </x:c>
      <x:c r="E6" s="78" t="str">
        <x:f>IF('评分底稿'!K6="","",'评分底稿'!K6)</x:f>
      </x:c>
      <x:c r="F6" s="50" t="str">
        <x:f>'评分底稿'!N6</x:f>
        <x:v>统一细分市场边界，补近三年同口径排名和收入证据</x:v>
      </x:c>
      <x:c r="G6" s="55" t="n"/>
      <x:c r="H6" s="55" t="n"/>
      <x:c r="I6" s="55" t="n"/>
    </x:row>
    <x:row r="7">
      <x:c r="A7" s="50" t="str">
        <x:f>'评分底稿'!B7</x:f>
        <x:v>专业化</x:v>
      </x:c>
      <x:c r="B7" s="50" t="str">
        <x:f>'评分底稿'!D7</x:f>
        <x:v>发明专利集中度</x:v>
      </x:c>
      <x:c r="C7" s="78" t="str">
        <x:f>IF('评分底稿'!H7="","",'评分底稿'!H7)</x:f>
      </x:c>
      <x:c r="D7" s="78" t="n">
        <x:f>'评分底稿'!E7</x:f>
        <x:v>5</x:v>
      </x:c>
      <x:c r="E7" s="78" t="str">
        <x:f>IF('评分底稿'!K7="","",'评分底稿'!K7)</x:f>
      </x:c>
      <x:c r="F7" s="50" t="str">
        <x:f>'评分底稿'!N7</x:f>
        <x:v>围绕主导产品集中布局发明专利，减少与主营无关的分散专利</x:v>
      </x:c>
      <x:c r="G7" s="55" t="n"/>
      <x:c r="H7" s="55" t="n"/>
      <x:c r="I7" s="55" t="n"/>
    </x:row>
    <x:row r="8">
      <x:c r="A8" s="50" t="str">
        <x:f>'评分底稿'!B8</x:f>
        <x:v>专业化</x:v>
      </x:c>
      <x:c r="B8" s="50" t="str">
        <x:f>'评分底稿'!D8</x:f>
        <x:v>主持或参与制修订标准数量</x:v>
      </x:c>
      <x:c r="C8" s="78" t="str">
        <x:f>IF('评分底稿'!H8="","",'评分底稿'!H8)</x:f>
      </x:c>
      <x:c r="D8" s="78" t="n">
        <x:f>'评分底稿'!E8</x:f>
        <x:v>5</x:v>
      </x:c>
      <x:c r="E8" s="78" t="str">
        <x:f>IF('评分底稿'!K8="","",'评分底稿'!K8)</x:f>
      </x:c>
      <x:c r="F8" s="50" t="str">
        <x:f>'评分底稿'!N8</x:f>
        <x:v>优先主持国家/行业标准；同步归集立项、发布和参编证明</x:v>
      </x:c>
      <x:c r="G8" s="55" t="n"/>
      <x:c r="H8" s="55" t="n"/>
      <x:c r="I8" s="55" t="n"/>
    </x:row>
    <x:row r="9">
      <x:c r="A9" s="50" t="str">
        <x:f>'评分底稿'!B9</x:f>
        <x:v>精细化</x:v>
      </x:c>
      <x:c r="B9" s="50" t="str">
        <x:f>'评分底稿'!D9</x:f>
        <x:v>人均营业收入超出行业均值情况</x:v>
      </x:c>
      <x:c r="C9" s="78" t="str">
        <x:f>IF('评分底稿'!H9="","",'评分底稿'!H9)</x:f>
      </x:c>
      <x:c r="D9" s="78" t="n">
        <x:f>'评分底稿'!E9</x:f>
        <x:v>2</x:v>
      </x:c>
      <x:c r="E9" s="78" t="str">
        <x:f>IF('评分底稿'!K9="","",'评分底稿'!K9)</x:f>
      </x:c>
      <x:c r="F9" s="50" t="str">
        <x:f>'评分底稿'!N9</x:f>
        <x:v>提升高附加值产品收入，优化低效岗位与产线节拍</x:v>
      </x:c>
      <x:c r="G9" s="55" t="n"/>
      <x:c r="H9" s="55" t="n"/>
      <x:c r="I9" s="55" t="n"/>
    </x:row>
    <x:row r="10">
      <x:c r="A10" s="50" t="str">
        <x:f>'评分底稿'!B10</x:f>
        <x:v>精细化</x:v>
      </x:c>
      <x:c r="B10" s="50" t="str">
        <x:f>'评分底稿'!D10</x:f>
        <x:v>净资产收益率超出行业均值情况</x:v>
      </x:c>
      <x:c r="C10" s="78" t="str">
        <x:f>IF('评分底稿'!H10="","",'评分底稿'!H10)</x:f>
      </x:c>
      <x:c r="D10" s="78" t="n">
        <x:f>'评分底稿'!E10</x:f>
        <x:v>2</x:v>
      </x:c>
      <x:c r="E10" s="78" t="str">
        <x:f>IF('评分底稿'!K10="","",'评分底稿'!K10)</x:f>
      </x:c>
      <x:c r="F10" s="50" t="str">
        <x:f>'评分底稿'!N10</x:f>
        <x:v>改善利润质量与资产周转，处置低效资产</x:v>
      </x:c>
      <x:c r="G10" s="55" t="n"/>
      <x:c r="H10" s="55" t="n"/>
      <x:c r="I10" s="55" t="n"/>
    </x:row>
    <x:row r="11">
      <x:c r="A11" s="50" t="str">
        <x:f>'评分底稿'!B11</x:f>
        <x:v>精细化</x:v>
      </x:c>
      <x:c r="B11" s="50" t="str">
        <x:f>'评分底稿'!D11</x:f>
        <x:v>成本利润率超出行业均值情况</x:v>
      </x:c>
      <x:c r="C11" s="78" t="str">
        <x:f>IF('评分底稿'!H11="","",'评分底稿'!H11)</x:f>
      </x:c>
      <x:c r="D11" s="78" t="n">
        <x:f>'评分底稿'!E11</x:f>
        <x:v>2</x:v>
      </x:c>
      <x:c r="E11" s="78" t="str">
        <x:f>IF('评分底稿'!K11="","",'评分底稿'!K11)</x:f>
      </x:c>
      <x:c r="F11" s="50" t="str">
        <x:f>'评分底稿'!N11</x:f>
        <x:v>推进工艺降本、良率提升和采购优化</x:v>
      </x:c>
      <x:c r="G11" s="55" t="n"/>
      <x:c r="H11" s="55" t="n"/>
      <x:c r="I11" s="55" t="n"/>
    </x:row>
    <x:row r="12">
      <x:c r="A12" s="50" t="str">
        <x:f>'评分底稿'!B12</x:f>
        <x:v>精细化</x:v>
      </x:c>
      <x:c r="B12" s="50" t="str">
        <x:f>'评分底稿'!D12</x:f>
        <x:v>销售和管理费用率超出行业均值情况</x:v>
      </x:c>
      <x:c r="C12" s="78" t="str">
        <x:f>IF('评分底稿'!H12="","",'评分底稿'!H12)</x:f>
      </x:c>
      <x:c r="D12" s="78" t="n">
        <x:f>'评分底稿'!E12</x:f>
        <x:v>4</x:v>
      </x:c>
      <x:c r="E12" s="78" t="str">
        <x:f>IF('评分底稿'!K12="","",'评分底稿'!K12)</x:f>
      </x:c>
      <x:c r="F12" s="50" t="str">
        <x:f>'评分底稿'!N12</x:f>
        <x:v>优化营销效率和管理层级，避免单纯压降研发费用</x:v>
      </x:c>
      <x:c r="G12" s="55" t="n"/>
      <x:c r="H12" s="55" t="n"/>
      <x:c r="I12" s="55" t="n"/>
    </x:row>
    <x:row r="13">
      <x:c r="A13" s="50" t="str">
        <x:f>'评分底稿'!B13</x:f>
        <x:v>精细化</x:v>
      </x:c>
      <x:c r="B13" s="50" t="str">
        <x:f>'评分底稿'!D13</x:f>
        <x:v>质量体系或产品权威认证综合</x:v>
      </x:c>
      <x:c r="C13" s="78" t="str">
        <x:f>IF('评分底稿'!H13="","",'评分底稿'!H13)</x:f>
      </x:c>
      <x:c r="D13" s="78" t="n">
        <x:f>'评分底稿'!E13</x:f>
        <x:v>10</x:v>
      </x:c>
      <x:c r="E13" s="78" t="str">
        <x:f>IF('评分底稿'!K13="","",'评分底稿'!K13)</x:f>
      </x:c>
      <x:c r="F13" s="50" t="str">
        <x:f>'评分底稿'!N13</x:f>
        <x:v>优先取得与主导产品直接相关的国内外权威认证；质量体系与产品认证共享10分</x:v>
      </x:c>
      <x:c r="G13" s="55" t="n"/>
      <x:c r="H13" s="55" t="n"/>
      <x:c r="I13" s="55" t="n"/>
    </x:row>
    <x:row r="14">
      <x:c r="A14" s="50" t="str">
        <x:f>'评分底稿'!B14</x:f>
        <x:v>特色化</x:v>
      </x:c>
      <x:c r="B14" s="50" t="str">
        <x:f>'评分底稿'!D14</x:f>
        <x:v>毛利率超出行业均值情况</x:v>
      </x:c>
      <x:c r="C14" s="78" t="str">
        <x:f>IF('评分底稿'!H14="","",'评分底稿'!H14)</x:f>
      </x:c>
      <x:c r="D14" s="78" t="n">
        <x:f>'评分底稿'!E14</x:f>
        <x:v>4</x:v>
      </x:c>
      <x:c r="E14" s="78" t="str">
        <x:f>IF('评分底稿'!K14="","",'评分底稿'!K14)</x:f>
      </x:c>
      <x:c r="F14" s="50" t="str">
        <x:f>'评分底稿'!N14</x:f>
        <x:v>提升核心产品溢价，压缩低毛利非主业收入</x:v>
      </x:c>
      <x:c r="G14" s="55" t="n"/>
      <x:c r="H14" s="55" t="n"/>
      <x:c r="I14" s="55" t="n"/>
    </x:row>
    <x:row r="15">
      <x:c r="A15" s="50" t="str">
        <x:f>'评分底稿'!B15</x:f>
        <x:v>特色化</x:v>
      </x:c>
      <x:c r="B15" s="50" t="str">
        <x:f>'评分底稿'!D15</x:f>
        <x:v>数字化评测或满分称号</x:v>
      </x:c>
      <x:c r="C15" s="78" t="str">
        <x:f>IF('评分底稿'!H15="","",'评分底稿'!H15)</x:f>
      </x:c>
      <x:c r="D15" s="78" t="n">
        <x:f>'评分底稿'!E15</x:f>
        <x:v>5.5</x:v>
      </x:c>
      <x:c r="E15" s="78" t="str">
        <x:f>IF('评分底稿'!K15="","",'评分底稿'!K15)</x:f>
      </x:c>
      <x:c r="F15" s="50" t="str">
        <x:f>'评分底稿'!N15</x:f>
        <x:v>先完成数字化转型评测，再建设可形成满分条件的场景或贯标</x:v>
      </x:c>
      <x:c r="G15" s="55" t="n"/>
      <x:c r="H15" s="55" t="n"/>
      <x:c r="I15" s="55" t="n"/>
    </x:row>
    <x:row r="16">
      <x:c r="A16" s="50" t="str">
        <x:f>'评分底稿'!B16</x:f>
        <x:v>特色化</x:v>
      </x:c>
      <x:c r="B16" s="50" t="str">
        <x:f>'评分底稿'!D16</x:f>
        <x:v>绿色工厂等称号或规范条件</x:v>
      </x:c>
      <x:c r="C16" s="78" t="str">
        <x:f>IF('评分底稿'!H16="","",'评分底稿'!H16)</x:f>
      </x:c>
      <x:c r="D16" s="78" t="n">
        <x:f>'评分底稿'!E16</x:f>
        <x:v>0.5</x:v>
      </x:c>
      <x:c r="E16" s="78" t="str">
        <x:f>IF('评分底稿'!K16="","",'评分底稿'!K16)</x:f>
      </x:c>
      <x:c r="F16" s="50" t="str">
        <x:f>'评分底稿'!N16</x:f>
        <x:v>符合条件时申报绿色工厂、绿色供应链或绿色产品</x:v>
      </x:c>
      <x:c r="G16" s="55" t="n"/>
      <x:c r="H16" s="55" t="n"/>
      <x:c r="I16" s="55" t="n"/>
    </x:row>
    <x:row r="17">
      <x:c r="A17" s="50" t="str">
        <x:f>'评分底稿'!B17</x:f>
        <x:v>特色化</x:v>
      </x:c>
      <x:c r="B17" s="50" t="str">
        <x:f>'评分底稿'!D17</x:f>
        <x:v>PCT专利数量</x:v>
      </x:c>
      <x:c r="C17" s="78" t="str">
        <x:f>IF('评分底稿'!H17="","",'评分底稿'!H17)</x:f>
      </x:c>
      <x:c r="D17" s="78" t="n">
        <x:f>'评分底稿'!E17</x:f>
        <x:v>5</x:v>
      </x:c>
      <x:c r="E17" s="78" t="str">
        <x:f>IF('评分底稿'!K17="","",'评分底稿'!K17)</x:f>
      </x:c>
      <x:c r="F17" s="50" t="str">
        <x:f>'评分底稿'!N17</x:f>
        <x:v>围绕核心海外市场布局PCT；先评估商业必要性与授权前景</x:v>
      </x:c>
      <x:c r="G17" s="55" t="n"/>
      <x:c r="H17" s="55" t="n"/>
      <x:c r="I17" s="55" t="n"/>
    </x:row>
    <x:row r="18">
      <x:c r="A18" s="50" t="str">
        <x:f>'评分底稿'!B18</x:f>
        <x:v>创新能力</x:v>
      </x:c>
      <x:c r="B18" s="50" t="str">
        <x:f>'评分底稿'!D18</x:f>
        <x:v>研发投入</x:v>
      </x:c>
      <x:c r="C18" s="78" t="str">
        <x:f>IF('评分底稿'!H18="","",'评分底稿'!H18)</x:f>
      </x:c>
      <x:c r="D18" s="78" t="n">
        <x:f>'评分底稿'!E18</x:f>
        <x:v>5</x:v>
      </x:c>
      <x:c r="E18" s="78" t="str">
        <x:f>IF('评分底稿'!K18="","",'评分底稿'!K18)</x:f>
      </x:c>
      <x:c r="F18" s="50" t="str">
        <x:f>'评分底稿'!N18</x:f>
        <x:v>制定三年研发预算，优先补到下一档并保持账表一致</x:v>
      </x:c>
      <x:c r="G18" s="55" t="n"/>
      <x:c r="H18" s="55" t="n"/>
      <x:c r="I18" s="55" t="n"/>
    </x:row>
    <x:row r="19">
      <x:c r="A19" s="50" t="str">
        <x:f>'评分底稿'!B19</x:f>
        <x:v>创新能力</x:v>
      </x:c>
      <x:c r="B19" s="50" t="str">
        <x:f>'评分底稿'!D19</x:f>
        <x:v>研发投入占比</x:v>
      </x:c>
      <x:c r="C19" s="78" t="str">
        <x:f>IF('评分底稿'!H19="","",'评分底稿'!H19)</x:f>
      </x:c>
      <x:c r="D19" s="78" t="n">
        <x:f>'评分底稿'!E19</x:f>
        <x:v>5</x:v>
      </x:c>
      <x:c r="E19" s="78" t="str">
        <x:f>IF('评分底稿'!K19="","",'评分底稿'!K19)</x:f>
      </x:c>
      <x:c r="F19" s="50" t="str">
        <x:f>'评分底稿'!N19</x:f>
        <x:v>在满足硬门槛后，围绕下一档提升研发强度</x:v>
      </x:c>
      <x:c r="G19" s="55" t="n"/>
      <x:c r="H19" s="55" t="n"/>
      <x:c r="I19" s="55" t="n"/>
    </x:row>
    <x:row r="20">
      <x:c r="A20" s="50" t="str">
        <x:f>'评分底稿'!B20</x:f>
        <x:v>创新能力</x:v>
      </x:c>
      <x:c r="B20" s="50" t="str">
        <x:f>'评分底稿'!D20</x:f>
        <x:v>发明专利数量加权</x:v>
      </x:c>
      <x:c r="C20" s="78" t="str">
        <x:f>IF('评分底稿'!H20="","",'评分底稿'!H20)</x:f>
      </x:c>
      <x:c r="D20" s="78" t="n">
        <x:f>'评分底稿'!E20</x:f>
        <x:v>5</x:v>
      </x:c>
      <x:c r="E20" s="78" t="str">
        <x:f>IF('评分底稿'!K20="","",'评分底稿'!K20)</x:f>
      </x:c>
      <x:c r="F20" s="50" t="str">
        <x:f>'评分底稿'!N20</x:f>
        <x:v>增加与主导产品直接相关的有效授权发明专利</x:v>
      </x:c>
      <x:c r="G20" s="55" t="n"/>
      <x:c r="H20" s="55" t="n"/>
      <x:c r="I20" s="55" t="n"/>
    </x:row>
    <x:row r="21">
      <x:c r="A21" s="50" t="str">
        <x:f>'评分底稿'!B21</x:f>
        <x:v>创新能力</x:v>
      </x:c>
      <x:c r="B21" s="50" t="str">
        <x:f>'评分底稿'!D21</x:f>
        <x:v>发明专利网络点度中心度</x:v>
      </x:c>
      <x:c r="C21" s="78" t="str">
        <x:f>IF('评分底稿'!H21="","",'评分底稿'!H21)</x:f>
      </x:c>
      <x:c r="D21" s="78" t="n">
        <x:f>'评分底稿'!E21</x:f>
        <x:v>5</x:v>
      </x:c>
      <x:c r="E21" s="78" t="str">
        <x:f>IF('评分底稿'!K21="","",'评分底稿'!K21)</x:f>
      </x:c>
      <x:c r="F21" s="50" t="str">
        <x:f>'评分底稿'!N21</x:f>
        <x:v>提高核心专利质量与被引关系；无平台数据时保守计分</x:v>
      </x:c>
      <x:c r="G21" s="55" t="n"/>
      <x:c r="H21" s="55" t="n"/>
      <x:c r="I21" s="55" t="n"/>
    </x:row>
    <x:row r="22">
      <x:c r="A22" s="50" t="str">
        <x:f>'评分底稿'!B22</x:f>
        <x:v>创新能力</x:v>
      </x:c>
      <x:c r="B22" s="50" t="str">
        <x:f>'评分底稿'!D22</x:f>
        <x:v>研发机构建设水平</x:v>
      </x:c>
      <x:c r="C22" s="78" t="str">
        <x:f>IF('评分底稿'!H22="","",'评分底稿'!H22)</x:f>
      </x:c>
      <x:c r="D22" s="78" t="n">
        <x:f>'评分底稿'!E22</x:f>
        <x:v>10</x:v>
      </x:c>
      <x:c r="E22" s="78" t="str">
        <x:f>IF('评分底稿'!K22="","",'评分底稿'!K22)</x:f>
      </x:c>
      <x:c r="F22" s="50" t="str">
        <x:f>'评分底稿'!N22</x:f>
        <x:v>优先完善自建研发机构，再争取省部级认定</x:v>
      </x:c>
      <x:c r="G22" s="55" t="n"/>
      <x:c r="H22" s="55" t="n"/>
      <x:c r="I22" s="55" t="n"/>
    </x:row>
    <x:row r="23">
      <x:c r="A23" s="50" t="str">
        <x:f>'评分底稿'!B23</x:f>
        <x:v>创新能力</x:v>
      </x:c>
      <x:c r="B23" s="50" t="str">
        <x:f>'评分底稿'!D23</x:f>
        <x:v>研发人员数量及占比</x:v>
      </x:c>
      <x:c r="C23" s="78" t="str">
        <x:f>IF('评分底稿'!H23="","",'评分底稿'!H23)</x:f>
      </x:c>
      <x:c r="D23" s="78" t="n">
        <x:f>'评分底稿'!E23</x:f>
        <x:v>5</x:v>
      </x:c>
      <x:c r="E23" s="78" t="str">
        <x:f>IF('评分底稿'!K23="","",'评分底稿'!K23)</x:f>
      </x:c>
      <x:c r="F23" s="50" t="str">
        <x:f>'评分底稿'!N23</x:f>
        <x:v>优化研发岗位名册、职责和社保一致性，目标不低于下一档</x:v>
      </x:c>
      <x:c r="G23" s="55" t="n"/>
      <x:c r="H23" s="55" t="n"/>
      <x:c r="I23" s="55" t="n"/>
    </x:row>
    <x:row r="24">
      <x:c r="A24" s="50" t="str">
        <x:f>'评分底稿'!B24</x:f>
        <x:v>成长性</x:v>
      </x:c>
      <x:c r="B24" s="50" t="str">
        <x:f>'评分底稿'!D24</x:f>
        <x:v>营业收入增长率超出行业均值情况</x:v>
      </x:c>
      <x:c r="C24" s="78" t="str">
        <x:f>IF('评分底稿'!H24="","",'评分底稿'!H24)</x:f>
      </x:c>
      <x:c r="D24" s="78" t="n">
        <x:f>'评分底稿'!E24</x:f>
        <x:v>5</x:v>
      </x:c>
      <x:c r="E24" s="78" t="str">
        <x:f>IF('评分底稿'!K24="","",'评分底稿'!K24)</x:f>
      </x:c>
      <x:c r="F24" s="50" t="str">
        <x:f>'评分底稿'!N24</x:f>
        <x:v>聚焦高增长主导产品和优质客户，减少非主业波动</x:v>
      </x:c>
      <x:c r="G24" s="55" t="n"/>
      <x:c r="H24" s="55" t="n"/>
      <x:c r="I24" s="55" t="n"/>
    </x:row>
    <x:row r="25">
      <x:c r="A25" s="50" t="str">
        <x:f>'评分底稿'!B25</x:f>
        <x:v>成长性</x:v>
      </x:c>
      <x:c r="B25" s="50" t="str">
        <x:f>'评分底稿'!D25</x:f>
        <x:v>利润增长率超出行业均值情况</x:v>
      </x:c>
      <x:c r="C25" s="78" t="str">
        <x:f>IF('评分底稿'!H25="","",'评分底稿'!H25)</x:f>
      </x:c>
      <x:c r="D25" s="78" t="n">
        <x:f>'评分底稿'!E25</x:f>
        <x:v>5</x:v>
      </x:c>
      <x:c r="E25" s="78" t="str">
        <x:f>IF('评分底稿'!K25="","",'评分底稿'!K25)</x:f>
      </x:c>
      <x:c r="F25" s="50" t="str">
        <x:f>'评分底稿'!N25</x:f>
        <x:v>改善产品结构、成本和费用，使利润增长与收入增长匹配</x:v>
      </x:c>
      <x:c r="G25" s="55" t="n"/>
      <x:c r="H25" s="55" t="n"/>
      <x:c r="I25" s="55" t="n"/>
    </x:row>
    <x:row r="26">
      <x:c r="A26" s="50" t="str">
        <x:f>'评分底稿'!B26</x:f>
        <x:v>成长性</x:v>
      </x:c>
      <x:c r="B26" s="50" t="str">
        <x:f>'评分底稿'!D26</x:f>
        <x:v>净资产增速超出行业均值情况</x:v>
      </x:c>
      <x:c r="C26" s="78" t="str">
        <x:f>IF('评分底稿'!H26="","",'评分底稿'!H26)</x:f>
      </x:c>
      <x:c r="D26" s="78" t="n">
        <x:f>'评分底稿'!E26</x:f>
        <x:v>5</x:v>
      </x:c>
      <x:c r="E26" s="78" t="str">
        <x:f>IF('评分底稿'!K26="","",'评分底稿'!K26)</x:f>
      </x:c>
      <x:c r="F26" s="50" t="str">
        <x:f>'评分底稿'!N26</x:f>
        <x:v>增强利润留存和资本实力，控制高分红与资产减值</x:v>
      </x:c>
      <x:c r="G26" s="55" t="n"/>
      <x:c r="H26" s="55" t="n"/>
      <x:c r="I26" s="55" t="n"/>
    </x:row>
  </x:sheetData>
  <x:mergeCells>
    <x:mergeCell ref="A1:I1"/>
    <x:mergeCell ref="A2:I2"/>
  </x:mergeCells>
  <x:conditionalFormatting sqref="E5:E26">
    <x:cfRule type="dataBar" priority="1">
      <x:dataBar>
        <x:cfvo type="min"/>
        <x:cfvo type="max"/>
        <x:color rgb="FF00A6D6"/>
      </x:dataBar>
    </x:cfRule>
  </x:conditionalFormatting>
  <x:conditionalFormatting sqref="I5:I26">
    <x:cfRule type="containsText" dxfId="2" priority="2" operator="containsText" text="已完成"/>
    <x:cfRule type="containsText" dxfId="5" priority="3" operator="containsText" text="进行中"/>
  </x:conditionalFormatting>
  <x:dataValidations count="1">
    <x:dataValidation type="list" allowBlank="0" showDropDown="0" showInputMessage="0" showErrorMessage="0" sqref="I5:I26">
      <x:formula1>"未开始,进行中,已完成,暂缓"</x:formula1>
    </x:dataValidation>
  </x:dataValidations>
  <x:pageMargins left="0.7" right="0.7" top="0.75" bottom="0.75" header="0.3" footer="0.3"/>
  <x:drawing xmlns:r="http://schemas.openxmlformats.org/officeDocument/2006/relationships" r:id="R6f8323a7ad244de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hidden="0" customWidth="1"/>
    <x:col min="2" max="2" width="36" hidden="0" customWidth="1"/>
    <x:col min="3" max="3" width="23" hidden="0" customWidth="1"/>
    <x:col min="4" max="4" width="23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4" customHeight="1">
      <x:c r="A1" s="96" t="str">
        <x:v>规则与来源</x:v>
      </x:c>
      <x:c r="B1" s="96"/>
      <x:c r="C1" s="96"/>
      <x:c r="D1" s="96"/>
      <x:c r="E1" s="96"/>
      <x:c r="F1" s="96"/>
      <x:c r="G1" s="96"/>
      <x:c r="H1" s="96"/>
    </x:row>
    <x:row r="2" ht="32" customHeight="1">
      <x:c r="A2" s="101" t="str">
        <x:v>企业数据只用用户材料；专利资质用企查查；行业比较采用统计局公开代理。粗评分用于提升管理，不冒充主管部门系统分。</x:v>
      </x:c>
      <x:c r="B2" s="101"/>
      <x:c r="C2" s="101"/>
      <x:c r="D2" s="101"/>
      <x:c r="E2" s="101"/>
      <x:c r="F2" s="101"/>
      <x:c r="G2" s="101"/>
      <x:c r="H2" s="101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106" t="str">
        <x:v>类别</x:v>
      </x:c>
      <x:c r="B4" s="106" t="str">
        <x:v>文件或数据</x:v>
      </x:c>
      <x:c r="C4" s="106" t="str">
        <x:v>发布/提供方</x:v>
      </x:c>
      <x:c r="D4" s="106" t="str">
        <x:v>日期或版本</x:v>
      </x:c>
      <x:c r="E4" s="106" t="str">
        <x:v>本表用途</x:v>
      </x:c>
      <x:c r="F4" s="106" t="str">
        <x:v>来源等级</x:v>
      </x:c>
      <x:c r="G4" s="106" t="str">
        <x:v>来源URL或工具</x:v>
      </x:c>
      <x:c r="H4" s="106" t="str">
        <x:v>限制</x:v>
      </x:c>
    </x:row>
    <x:row r="5">
      <x:c r="A5" s="111" t="str">
        <x:v>政策</x:v>
      </x:c>
      <x:c r="B5" s="111" t="str">
        <x:v>当期优质中小企业梯度培育管理办法</x:v>
      </x:c>
      <x:c r="C5" s="111" t="str">
        <x:v>工业和信息化主管部门</x:v>
      </x:c>
      <x:c r="D5" s="111" t="str">
        <x:v>按项目填写</x:v>
      </x:c>
      <x:c r="E5" s="111" t="str">
        <x:v>硬门槛和评价口径</x:v>
      </x:c>
      <x:c r="F5" s="111" t="str">
        <x:v>官方</x:v>
      </x:c>
      <x:c r="G5" s="111" t="str">
        <x:v>填写官方URL</x:v>
      </x:c>
      <x:c r="H5" s="111" t="str">
        <x:v>以当期通知和系统口径为准</x:v>
      </x:c>
    </x:row>
    <x:row r="6">
      <x:c r="A6" s="111" t="str">
        <x:v>政策</x:v>
      </x:c>
      <x:c r="B6" s="111" t="str">
        <x:v>当期专精特新或小巨人申报通知</x:v>
      </x:c>
      <x:c r="C6" s="111" t="str">
        <x:v>主管部门</x:v>
      </x:c>
      <x:c r="D6" s="111" t="str">
        <x:v>按项目填写</x:v>
      </x:c>
      <x:c r="E6" s="111" t="str">
        <x:v>项目批次和时间要求</x:v>
      </x:c>
      <x:c r="F6" s="111" t="str">
        <x:v>官方</x:v>
      </x:c>
      <x:c r="G6" s="111" t="str">
        <x:v>填写官方URL</x:v>
      </x:c>
      <x:c r="H6" s="111" t="str">
        <x:v>正式系统分不可人工替代</x:v>
      </x:c>
    </x:row>
    <x:row r="7">
      <x:c r="A7" s="111" t="str">
        <x:v>用户材料</x:v>
      </x:c>
      <x:c r="B7" s="111" t="str">
        <x:v>财务、经营、人员、研发、产品和市场数据</x:v>
      </x:c>
      <x:c r="C7" s="111" t="str">
        <x:v>用户提供</x:v>
      </x:c>
      <x:c r="D7" s="111" t="str">
        <x:v>按文件填写</x:v>
      </x:c>
      <x:c r="E7" s="111" t="str">
        <x:v>硬门槛和可计算评分项</x:v>
      </x:c>
      <x:c r="F7" s="111" t="str">
        <x:v>用户材料</x:v>
      </x:c>
      <x:c r="G7" s="111" t="str">
        <x:v>填写文件路径</x:v>
      </x:c>
      <x:c r="H7" s="111" t="str">
        <x:v>财务数据不以第三方数据替代</x:v>
      </x:c>
    </x:row>
    <x:row r="8">
      <x:c r="A8" s="111" t="str">
        <x:v>企查查</x:v>
      </x:c>
      <x:c r="B8" s="111" t="str">
        <x:v>企业工商登记</x:v>
      </x:c>
      <x:c r="C8" s="111" t="str">
        <x:v>企查查</x:v>
      </x:c>
      <x:c r="D8" s="111" t="str">
        <x:v>填写查询日</x:v>
      </x:c>
      <x:c r="E8" s="111" t="str">
        <x:v>主体锚定</x:v>
      </x:c>
      <x:c r="F8" s="111" t="str">
        <x:v>公开登记数据聚合</x:v>
      </x:c>
      <x:c r="G8" s="111" t="str">
        <x:v>get_company_registration_info</x:v>
      </x:c>
      <x:c r="H8" s="111" t="str">
        <x:v>按工具更新频率</x:v>
      </x:c>
    </x:row>
    <x:row r="9">
      <x:c r="A9" s="111" t="str">
        <x:v>企查查</x:v>
      </x:c>
      <x:c r="B9" s="111" t="str">
        <x:v>当前有效专利</x:v>
      </x:c>
      <x:c r="C9" s="111" t="str">
        <x:v>企查查</x:v>
      </x:c>
      <x:c r="D9" s="111" t="str">
        <x:v>填写查询日</x:v>
      </x:c>
      <x:c r="E9" s="111" t="str">
        <x:v>专利数量和法律状态</x:v>
      </x:c>
      <x:c r="F9" s="111" t="str">
        <x:v>国家知识产权局公开数据聚合</x:v>
      </x:c>
      <x:c r="G9" s="111" t="str">
        <x:v>get_patent_info</x:v>
      </x:c>
      <x:c r="H9" s="111" t="str">
        <x:v>未返回字段不作推断</x:v>
      </x:c>
    </x:row>
    <x:row r="10">
      <x:c r="A10" s="111" t="str">
        <x:v>企查查</x:v>
      </x:c>
      <x:c r="B10" s="111" t="str">
        <x:v>企业资质证书</x:v>
      </x:c>
      <x:c r="C10" s="111" t="str">
        <x:v>企查查</x:v>
      </x:c>
      <x:c r="D10" s="111" t="str">
        <x:v>填写查询日</x:v>
      </x:c>
      <x:c r="E10" s="111" t="str">
        <x:v>证书有效性</x:v>
      </x:c>
      <x:c r="F10" s="111" t="str">
        <x:v>公开证书数据聚合</x:v>
      </x:c>
      <x:c r="G10" s="111" t="str">
        <x:v>get_qualifications</x:v>
      </x:c>
      <x:c r="H10" s="111" t="str">
        <x:v>只使用当前有效记录</x:v>
      </x:c>
    </x:row>
    <x:row r="11" ht="24" customHeight="1">
      <x:c r="A11" s="115" t="str">
        <x:v>企查查</x:v>
      </x:c>
      <x:c r="B11" s="111" t="str">
        <x:v>企业荣誉和标准</x:v>
      </x:c>
      <x:c r="C11" s="111" t="str">
        <x:v>企查查</x:v>
      </x:c>
      <x:c r="D11" s="111" t="str">
        <x:v>填写查询日</x:v>
      </x:c>
      <x:c r="E11" s="111" t="str">
        <x:v>荣誉层级和标准线索</x:v>
      </x:c>
      <x:c r="F11" s="111" t="str">
        <x:v>政府公示与标准数据聚合</x:v>
      </x:c>
      <x:c r="G11" s="111" t="str">
        <x:v>get_honor_info / get_standard_info</x:v>
      </x:c>
      <x:c r="H11" s="111" t="str">
        <x:v>标准未返回起草角色时不直接计分</x:v>
      </x:c>
    </x:row>
    <x:row r="12">
      <x:c r="A12" s="111" t="str">
        <x:v>统计局</x:v>
      </x:c>
      <x:c r="B12" s="111" t="str">
        <x:v>按行业分规模以上工业企业主要指标</x:v>
      </x:c>
      <x:c r="C12" s="111" t="str">
        <x:v>国家统计局或地方统计局</x:v>
      </x:c>
      <x:c r="D12" s="111" t="str">
        <x:v>填写数据年度</x:v>
      </x:c>
      <x:c r="E12" s="111" t="str">
        <x:v>人均营收、盈利、费用、毛利和净资产代理</x:v>
      </x:c>
      <x:c r="F12" s="111" t="str">
        <x:v>B/C级代理</x:v>
      </x:c>
      <x:c r="G12" s="111" t="str">
        <x:v>填写官方URL</x:v>
      </x:c>
      <x:c r="H12" s="111" t="str">
        <x:v>记录国标行业、地区、规模范围和公式</x:v>
      </x:c>
    </x:row>
    <x:row r="13">
      <x:c r="A13" s="111" t="str">
        <x:v>统计局</x:v>
      </x:c>
      <x:c r="B13" s="111" t="str">
        <x:v>年度分行业工业企业利润数据</x:v>
      </x:c>
      <x:c r="C13" s="111" t="str">
        <x:v>国家统计局或地方统计局</x:v>
      </x:c>
      <x:c r="D13" s="111" t="str">
        <x:v>填写数据年度</x:v>
      </x:c>
      <x:c r="E13" s="111" t="str">
        <x:v>营收和利润增长率代理</x:v>
      </x:c>
      <x:c r="F13" s="111" t="str">
        <x:v>B/C级代理</x:v>
      </x:c>
      <x:c r="G13" s="111" t="str">
        <x:v>填写官方URL</x:v>
      </x:c>
      <x:c r="H13" s="111" t="str">
        <x:v>可比口径增速优先</x:v>
      </x:c>
    </x:row>
    <x:row r="14">
      <x:c r="A14" s="90"/>
      <x:c r="B14" s="90"/>
      <x:c r="C14" s="92"/>
      <x:c r="D14" s="92"/>
      <x:c r="E14" s="92"/>
      <x:c r="F14" s="92"/>
      <x:c r="G14" s="92"/>
      <x:c r="H14" s="93"/>
    </x:row>
    <x:row r="15">
      <x:c r="A15" s="90"/>
      <x:c r="B15" s="90"/>
      <x:c r="C15" s="92"/>
      <x:c r="D15" s="92"/>
      <x:c r="E15" s="92"/>
      <x:c r="F15" s="92"/>
      <x:c r="G15" s="92"/>
      <x:c r="H15" s="93"/>
    </x:row>
    <x:row r="16">
      <x:c r="A16" s="106" t="str">
        <x:v>评分层级</x:v>
      </x:c>
      <x:c r="B16" s="106" t="str">
        <x:v>定义</x:v>
      </x:c>
      <x:c r="C16" s="110" t="str">
        <x:v>是否进入已核验分</x:v>
      </x:c>
      <x:c r="D16" s="110" t="str">
        <x:v>证据要求</x:v>
      </x:c>
      <x:c r="E16" s="110" t="str">
        <x:v>缺失处理</x:v>
      </x:c>
      <x:c r="F16" s="110" t="str">
        <x:v>报告表达</x:v>
      </x:c>
      <x:c r="G16" s="110" t="str">
        <x:v>责任人</x:v>
      </x:c>
      <x:c r="H16" s="110" t="str">
        <x:v>备注</x:v>
      </x:c>
    </x:row>
    <x:row r="17">
      <x:c r="A17" s="111" t="str">
        <x:v>直接事实分</x:v>
      </x:c>
      <x:c r="B17" s="111" t="str">
        <x:v>企查查或用户材料可直接核验并按明确口径计算</x:v>
      </x:c>
      <x:c r="C17" s="111" t="str">
        <x:v>是</x:v>
      </x:c>
      <x:c r="D17" s="111" t="str">
        <x:v>字段、公式和期间完整</x:v>
      </x:c>
      <x:c r="E17" s="111" t="str">
        <x:v>不缺省补值</x:v>
      </x:c>
      <x:c r="F17" s="111" t="str">
        <x:v>前期预评估直接分</x:v>
      </x:c>
      <x:c r="G17" s="111" t="str">
        <x:v>项目负责人</x:v>
      </x:c>
      <x:c r="H17" s="111" t="str">
        <x:v>不等同官方得分</x:v>
      </x:c>
    </x:row>
    <x:row r="18" ht="24" customHeight="1">
      <x:c r="A18" s="115" t="str">
        <x:v>公开代理分</x:v>
      </x:c>
      <x:c r="B18" s="111" t="str">
        <x:v>统计局行业数据或公开荣誉可形成可追溯替代基准</x:v>
      </x:c>
      <x:c r="C18" s="111" t="str">
        <x:v>进入粗评分</x:v>
      </x:c>
      <x:c r="D18" s="111" t="str">
        <x:v>年份、行业、范围、公式和URL</x:v>
      </x:c>
      <x:c r="E18" s="111" t="str">
        <x:v>正式系统后校准</x:v>
      </x:c>
      <x:c r="F18" s="111" t="str">
        <x:v>基准粗评分</x:v>
      </x:c>
      <x:c r="G18" s="111" t="str">
        <x:v>项目负责人</x:v>
      </x:c>
      <x:c r="H18" s="111" t="str">
        <x:v>不等同官方系统值</x:v>
      </x:c>
    </x:row>
    <x:row r="19">
      <x:c r="A19" s="124" t="str">
        <x:v>条件分</x:v>
      </x:c>
      <x:c r="B19" s="124" t="str">
        <x:v>资质有效但产品适用性、等级或政策归类待确认</x:v>
      </x:c>
      <x:c r="C19" s="124" t="str">
        <x:v>否，单列</x:v>
      </x:c>
      <x:c r="D19" s="124" t="str">
        <x:v>补证后方可转入</x:v>
      </x:c>
      <x:c r="E19" s="124" t="str">
        <x:v>保持条件状态</x:v>
      </x:c>
      <x:c r="F19" s="124" t="str">
        <x:v>含条件分情景</x:v>
      </x:c>
      <x:c r="G19" s="124" t="str">
        <x:v>项目负责人</x:v>
      </x:c>
      <x:c r="H19" s="124" t="str">
        <x:v>不得静默计入</x:v>
      </x:c>
    </x:row>
    <x:row r="20">
      <x:c r="A20" s="111" t="str">
        <x:v>待系统评价</x:v>
      </x:c>
      <x:c r="B20" s="111" t="str">
        <x:v>公开来源仍无法替代的系统自动参数</x:v>
      </x:c>
      <x:c r="C20" s="111" t="str">
        <x:v>否</x:v>
      </x:c>
      <x:c r="D20" s="111" t="str">
        <x:v>主管部门系统结果</x:v>
      </x:c>
      <x:c r="E20" s="111" t="str">
        <x:v>留空或给区间</x:v>
      </x:c>
      <x:c r="F20" s="111" t="str">
        <x:v>正式待校准</x:v>
      </x:c>
      <x:c r="G20" s="111" t="str">
        <x:v>申报系统</x:v>
      </x:c>
      <x:c r="H20" s="111" t="str">
        <x:v>不得写成官方得分</x:v>
      </x:c>
    </x:row>
    <x:row r="21">
      <x:c r="A21" s="111" t="str">
        <x:v>目标情景</x:v>
      </x:c>
      <x:c r="B21" s="111" t="str">
        <x:v>完成明确提升动作后可能新增的分值</x:v>
      </x:c>
      <x:c r="C21" s="111" t="str">
        <x:v>否</x:v>
      </x:c>
      <x:c r="D21" s="111" t="str">
        <x:v>完成条件和证据</x:v>
      </x:c>
      <x:c r="E21" s="111" t="str">
        <x:v>未完成不计</x:v>
      </x:c>
      <x:c r="F21" s="111" t="str">
        <x:v>目标情景分</x:v>
      </x:c>
      <x:c r="G21" s="111" t="str">
        <x:v>企业责任部门</x:v>
      </x:c>
      <x:c r="H21" s="111" t="str">
        <x:v>用于行动管理</x:v>
      </x:c>
    </x:row>
    <x:row r="22">
      <x:c r="A22" s="111" t="str">
        <x:v>财务边界</x:v>
      </x:c>
      <x:c r="B22" s="111" t="str">
        <x:v>最近三年财务经营数据只用用户提供材料</x:v>
      </x:c>
      <x:c r="C22" s="111" t="str">
        <x:v>适用</x:v>
      </x:c>
      <x:c r="D22" s="111" t="str">
        <x:v>审计报告、申请书或用户确认表</x:v>
      </x:c>
      <x:c r="E22" s="111" t="str">
        <x:v>缺失时不出完整总分</x:v>
      </x:c>
      <x:c r="F22" s="111" t="str">
        <x:v>财务待补</x:v>
      </x:c>
      <x:c r="G22" s="111" t="str">
        <x:v>企业财务</x:v>
      </x:c>
      <x:c r="H22" s="111" t="str">
        <x:v>不调用第三方财务替代</x:v>
      </x:c>
    </x:row>
    <x:row r="23">
      <x:c r="A23" s="90"/>
      <x:c r="B23" s="90"/>
      <x:c r="C23" s="90"/>
      <x:c r="D23" s="90"/>
      <x:c r="E23" s="90"/>
      <x:c r="F23" s="90"/>
      <x:c r="G23" s="90"/>
      <x:c r="H23" s="90"/>
    </x:row>
    <x:row r="24">
      <x:c r="A24" s="90"/>
      <x:c r="B24" s="90"/>
      <x:c r="C24" s="90"/>
      <x:c r="D24" s="90"/>
      <x:c r="E24" s="90"/>
      <x:c r="F24" s="90"/>
      <x:c r="G24" s="90"/>
      <x:c r="H24" s="90"/>
    </x:row>
    <x:row r="25">
      <x:c r="A25" s="88"/>
      <x:c r="B25" s="88"/>
      <x:c r="C25" s="88"/>
      <x:c r="D25" s="88"/>
      <x:c r="E25" s="88"/>
      <x:c r="F25" s="88"/>
      <x:c r="G25" s="88"/>
      <x:c r="H25" s="88"/>
    </x:row>
    <x:row r="26" ht="24" customHeight="1">
      <x:c r="A26" s="91"/>
      <x:c r="B26" s="86"/>
      <x:c r="C26" s="86"/>
      <x:c r="D26" s="86"/>
      <x:c r="E26" s="86"/>
      <x:c r="F26" s="86"/>
      <x:c r="G26" s="86"/>
      <x:c r="H26" s="86"/>
    </x:row>
    <x:row r="27">
      <x:c r="A27" s="89"/>
      <x:c r="B27" s="89"/>
      <x:c r="C27" s="89"/>
      <x:c r="D27" s="89"/>
      <x:c r="E27" s="89"/>
      <x:c r="F27" s="89"/>
      <x:c r="G27" s="89"/>
      <x:c r="H27" s="89"/>
    </x:row>
    <x:row r="28">
      <x:c r="A28" s="90"/>
      <x:c r="B28" s="90"/>
      <x:c r="C28" s="90"/>
      <x:c r="D28" s="90"/>
      <x:c r="E28" s="90"/>
      <x:c r="F28" s="90"/>
      <x:c r="G28" s="90"/>
      <x:c r="H28" s="90"/>
    </x:row>
    <x:row r="29">
      <x:c r="A29" s="90"/>
      <x:c r="B29" s="90"/>
      <x:c r="C29" s="90"/>
      <x:c r="D29" s="90"/>
      <x:c r="E29" s="90"/>
      <x:c r="F29" s="90"/>
      <x:c r="G29" s="90"/>
      <x:c r="H29" s="90"/>
    </x:row>
    <x:row r="30">
      <x:c r="A30" s="90"/>
      <x:c r="B30" s="90"/>
      <x:c r="C30" s="90"/>
      <x:c r="D30" s="90"/>
      <x:c r="E30" s="90"/>
      <x:c r="F30" s="90"/>
      <x:c r="G30" s="90"/>
      <x:c r="H30" s="90"/>
    </x:row>
    <x:row r="31">
      <x:c r="A31" s="90"/>
      <x:c r="B31" s="90"/>
      <x:c r="C31" s="90"/>
      <x:c r="D31" s="90"/>
      <x:c r="E31" s="90"/>
      <x:c r="F31" s="90"/>
      <x:c r="G31" s="90"/>
      <x:c r="H31" s="90"/>
    </x:row>
    <x:row r="32">
      <x:c r="A32" s="90"/>
      <x:c r="B32" s="90"/>
      <x:c r="C32" s="90"/>
      <x:c r="D32" s="90"/>
      <x:c r="E32" s="90"/>
      <x:c r="F32" s="90"/>
      <x:c r="G32" s="90"/>
      <x:c r="H32" s="90"/>
    </x:row>
    <x:row r="33">
      <x:c r="A33" s="88"/>
      <x:c r="B33" s="88"/>
      <x:c r="C33" s="88"/>
      <x:c r="D33" s="88"/>
      <x:c r="E33" s="88"/>
      <x:c r="F33" s="88"/>
      <x:c r="G33" s="88"/>
      <x:c r="H33" s="88"/>
    </x:row>
    <x:row r="34" ht="24" customHeight="1">
      <x:c r="A34" s="91"/>
      <x:c r="B34" s="86"/>
      <x:c r="C34" s="86"/>
      <x:c r="D34" s="86"/>
      <x:c r="E34" s="86"/>
      <x:c r="F34" s="86"/>
      <x:c r="G34" s="86"/>
      <x:c r="H34" s="86"/>
    </x:row>
    <x:row r="35">
      <x:c r="A35" s="90"/>
      <x:c r="B35" s="90"/>
      <x:c r="C35" s="92"/>
      <x:c r="D35" s="92"/>
      <x:c r="E35" s="92"/>
      <x:c r="F35" s="92"/>
      <x:c r="G35" s="92"/>
      <x:c r="H35" s="93"/>
    </x:row>
    <x:row r="36">
      <x:c r="A36" s="90"/>
      <x:c r="B36" s="90"/>
      <x:c r="C36" s="92"/>
      <x:c r="D36" s="92"/>
      <x:c r="E36" s="92"/>
      <x:c r="F36" s="92"/>
      <x:c r="G36" s="92"/>
      <x:c r="H36" s="93"/>
    </x:row>
    <x:row r="37">
      <x:c r="A37" s="90"/>
      <x:c r="B37" s="90"/>
      <x:c r="C37" s="92"/>
      <x:c r="D37" s="92"/>
      <x:c r="E37" s="92"/>
      <x:c r="F37" s="92"/>
      <x:c r="G37" s="92"/>
      <x:c r="H37" s="93"/>
    </x:row>
  </x:sheetData>
  <x:mergeCells>
    <x:mergeCell ref="A18:H18"/>
    <x:mergeCell ref="B36:H36"/>
    <x:mergeCell ref="B14:H14"/>
    <x:mergeCell ref="A26:H26"/>
    <x:mergeCell ref="B13:H13"/>
    <x:mergeCell ref="B35:H35"/>
    <x:mergeCell ref="A2:H2"/>
    <x:mergeCell ref="B12:H12"/>
    <x:mergeCell ref="B16:H16"/>
    <x:mergeCell ref="A11:H11"/>
    <x:mergeCell ref="B15:H15"/>
    <x:mergeCell ref="A1:H1"/>
    <x:mergeCell ref="B37:H37"/>
    <x:mergeCell ref="A34:H34"/>
  </x:mergeCells>
  <x:pageMargins left="0.7" right="0.7" top="0.75" bottom="0.75" header="0.3" footer="0.3"/>
  <x:drawing xmlns:r="http://schemas.openxmlformats.org/officeDocument/2006/relationships" r:id="Ra5a5c9b9654d422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</x:cols>
  <x:sheetData>
    <x:row r="1">
      <x:c r="A1" s="96" t="str">
        <x:v>统计局行业代理基准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>
      <x:c r="A2" s="101" t="str">
        <x:v>按企业主导产品映射国标行业。四位行业不可得时可退阶到大类行业，但必须记录年份、地区、规模范围、公式、URL和代理等级。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</x:row>
    <x:row r="4">
      <x:c r="A4" s="106" t="str">
        <x:v>数据年度</x:v>
      </x:c>
      <x:c r="B4" s="106" t="str">
        <x:v>营业收入</x:v>
      </x:c>
      <x:c r="C4" s="106" t="str">
        <x:v>营业成本</x:v>
      </x:c>
      <x:c r="D4" s="106" t="str">
        <x:v>销售费用</x:v>
      </x:c>
      <x:c r="E4" s="106" t="str">
        <x:v>管理费用</x:v>
      </x:c>
      <x:c r="F4" s="106" t="str">
        <x:v>利润总额</x:v>
      </x:c>
      <x:c r="G4" s="106" t="str">
        <x:v>资产总计</x:v>
      </x:c>
      <x:c r="H4" s="106" t="str">
        <x:v>负债合计</x:v>
      </x:c>
      <x:c r="I4" s="110" t="str">
        <x:v>平均用工</x:v>
      </x:c>
      <x:c r="J4" s="110" t="str">
        <x:v>来源/URL</x:v>
      </x:c>
    </x:row>
    <x:row r="5">
      <x:c r="A5" s="111"/>
      <x:c r="B5" s="111"/>
      <x:c r="C5" s="111"/>
      <x:c r="D5" s="111"/>
      <x:c r="E5" s="111"/>
      <x:c r="F5" s="111"/>
      <x:c r="G5" s="111"/>
      <x:c r="H5" s="111"/>
      <x:c r="I5" s="111"/>
      <x:c r="J5" s="111"/>
    </x:row>
    <x:row r="6">
      <x:c r="A6" s="111"/>
      <x:c r="B6" s="111"/>
      <x:c r="C6" s="111"/>
      <x:c r="D6" s="111"/>
      <x:c r="E6" s="111"/>
      <x:c r="F6" s="111"/>
      <x:c r="G6" s="111"/>
      <x:c r="H6" s="111"/>
      <x:c r="I6" s="111"/>
      <x:c r="J6" s="111"/>
    </x:row>
    <x:row r="7">
      <x:c r="A7" s="111"/>
      <x:c r="B7" s="111"/>
      <x:c r="C7" s="111"/>
      <x:c r="D7" s="111"/>
      <x:c r="E7" s="111"/>
      <x:c r="F7" s="111"/>
      <x:c r="G7" s="111"/>
      <x:c r="H7" s="111"/>
      <x:c r="I7" s="111"/>
      <x:c r="J7" s="111"/>
    </x:row>
    <x:row r="8">
      <x:c r="A8" s="111"/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</x:row>
    <x:row r="10">
      <x:c r="A10" s="110" t="str">
        <x:v>评分指标</x:v>
      </x:c>
      <x:c r="B10" s="110" t="str">
        <x:v>企业值</x:v>
      </x:c>
      <x:c r="C10" s="110" t="str">
        <x:v>统计局代理值</x:v>
      </x:c>
      <x:c r="D10" s="110" t="str">
        <x:v>差额/倍数</x:v>
      </x:c>
      <x:c r="E10" s="110" t="str">
        <x:v>越高越优</x:v>
      </x:c>
      <x:c r="F10" s="110" t="str">
        <x:v>模型粗评分</x:v>
      </x:c>
      <x:c r="G10" s="110" t="str">
        <x:v>满分</x:v>
      </x:c>
      <x:c r="H10" s="110" t="str">
        <x:v>代理等级</x:v>
      </x:c>
      <x:c r="I10" s="110" t="str">
        <x:v>口径说明</x:v>
      </x:c>
      <x:c r="J10" s="86"/>
    </x:row>
    <x:row r="11">
      <x:c r="A11" s="111" t="str">
        <x:v>人均营业收入</x:v>
      </x:c>
      <x:c r="B11" s="111"/>
      <x:c r="C11" s="111"/>
      <x:c r="D11" s="111"/>
      <x:c r="E11" s="111" t="str">
        <x:v>是</x:v>
      </x:c>
      <x:c r="F11" s="111"/>
      <x:c r="G11" s="111" t="n">
        <x:v>2</x:v>
      </x:c>
      <x:c r="H11" s="111"/>
      <x:c r="I11" s="111" t="str">
        <x:v>营业收入÷平均用工</x:v>
      </x:c>
      <x:c r="J11" s="86"/>
    </x:row>
    <x:row r="12">
      <x:c r="A12" s="111" t="str">
        <x:v>净资产收益率</x:v>
      </x:c>
      <x:c r="B12" s="111"/>
      <x:c r="C12" s="111"/>
      <x:c r="D12" s="111"/>
      <x:c r="E12" s="111" t="str">
        <x:v>是</x:v>
      </x:c>
      <x:c r="F12" s="111"/>
      <x:c r="G12" s="111" t="n">
        <x:v>2</x:v>
      </x:c>
      <x:c r="H12" s="111"/>
      <x:c r="I12" s="111" t="str">
        <x:v>优先同口径；缺净利润时用利润总额÷净资产做代理</x:v>
      </x:c>
      <x:c r="J12" s="86"/>
    </x:row>
    <x:row r="13">
      <x:c r="A13" s="111" t="str">
        <x:v>成本利润率</x:v>
      </x:c>
      <x:c r="B13" s="111"/>
      <x:c r="C13" s="111"/>
      <x:c r="D13" s="111"/>
      <x:c r="E13" s="111" t="str">
        <x:v>是</x:v>
      </x:c>
      <x:c r="F13" s="111"/>
      <x:c r="G13" s="111" t="n">
        <x:v>2</x:v>
      </x:c>
      <x:c r="H13" s="111"/>
      <x:c r="I13" s="111" t="str">
        <x:v>利润总额÷营业成本</x:v>
      </x:c>
      <x:c r="J13" s="86"/>
    </x:row>
    <x:row r="14">
      <x:c r="A14" s="111" t="str">
        <x:v>销售和管理费用率</x:v>
      </x:c>
      <x:c r="B14" s="111"/>
      <x:c r="C14" s="111"/>
      <x:c r="D14" s="111"/>
      <x:c r="E14" s="111" t="str">
        <x:v>否</x:v>
      </x:c>
      <x:c r="F14" s="111"/>
      <x:c r="G14" s="111" t="n">
        <x:v>4</x:v>
      </x:c>
      <x:c r="H14" s="111"/>
      <x:c r="I14" s="111" t="str">
        <x:v>核对管理费用是否含研发</x:v>
      </x:c>
      <x:c r="J14" s="86"/>
    </x:row>
    <x:row r="15">
      <x:c r="A15" s="111" t="str">
        <x:v>毛利率</x:v>
      </x:c>
      <x:c r="B15" s="111"/>
      <x:c r="C15" s="111"/>
      <x:c r="D15" s="111"/>
      <x:c r="E15" s="111" t="str">
        <x:v>是</x:v>
      </x:c>
      <x:c r="F15" s="111"/>
      <x:c r="G15" s="111" t="n">
        <x:v>4</x:v>
      </x:c>
      <x:c r="H15" s="111"/>
      <x:c r="I15" s="111" t="str">
        <x:v>营业收入减营业成本后的差额÷营业收入</x:v>
      </x:c>
      <x:c r="J15" s="86"/>
    </x:row>
    <x:row r="16">
      <x:c r="A16" s="111" t="str">
        <x:v>营业收入增长率</x:v>
      </x:c>
      <x:c r="B16" s="111"/>
      <x:c r="C16" s="111"/>
      <x:c r="D16" s="111"/>
      <x:c r="E16" s="111" t="str">
        <x:v>是</x:v>
      </x:c>
      <x:c r="F16" s="111"/>
      <x:c r="G16" s="111" t="n">
        <x:v>5</x:v>
      </x:c>
      <x:c r="H16" s="111"/>
      <x:c r="I16" s="111" t="str">
        <x:v>同一行业连续两年可比增速均值</x:v>
      </x:c>
      <x:c r="J16" s="86"/>
    </x:row>
    <x:row r="17">
      <x:c r="A17" s="111" t="str">
        <x:v>利润增长率</x:v>
      </x:c>
      <x:c r="B17" s="111"/>
      <x:c r="C17" s="111"/>
      <x:c r="D17" s="111"/>
      <x:c r="E17" s="111" t="str">
        <x:v>是</x:v>
      </x:c>
      <x:c r="F17" s="111"/>
      <x:c r="G17" s="111" t="n">
        <x:v>5</x:v>
      </x:c>
      <x:c r="H17" s="111"/>
      <x:c r="I17" s="111" t="str">
        <x:v>企业净利润与行业利润总额差异需标注</x:v>
      </x:c>
      <x:c r="J17" s="86"/>
    </x:row>
    <x:row r="18">
      <x:c r="A18" s="111" t="str">
        <x:v>净资产增速</x:v>
      </x:c>
      <x:c r="B18" s="111"/>
      <x:c r="C18" s="111"/>
      <x:c r="D18" s="111"/>
      <x:c r="E18" s="111" t="str">
        <x:v>是</x:v>
      </x:c>
      <x:c r="F18" s="111"/>
      <x:c r="G18" s="111" t="n">
        <x:v>5</x:v>
      </x:c>
      <x:c r="H18" s="111"/>
      <x:c r="I18" s="111" t="str">
        <x:v>资产总计减负债合计后计算</x:v>
      </x:c>
      <x:c r="J18" s="86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6" hidden="0" customWidth="1"/>
    <x:col min="3" max="3" width="23" hidden="0" customWidth="1"/>
    <x:col min="4" max="4" width="23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96" t="str">
        <x:v>企查查核验证据</x:v>
      </x:c>
      <x:c r="B1" s="96"/>
      <x:c r="C1" s="96"/>
      <x:c r="D1" s="96"/>
      <x:c r="E1" s="96"/>
      <x:c r="F1" s="96"/>
      <x:c r="G1" s="96"/>
      <x:c r="H1" s="96"/>
    </x:row>
    <x:row r="2">
      <x:c r="A2" s="101" t="str">
        <x:v>记录字段级事实、工具代码、查询日期和更新频率。未发现公开记录不等同于一定不存在。</x:v>
      </x:c>
      <x:c r="B2" s="101"/>
      <x:c r="C2" s="101"/>
      <x:c r="D2" s="101"/>
      <x:c r="E2" s="101"/>
      <x:c r="F2" s="101"/>
      <x:c r="G2" s="101"/>
      <x:c r="H2" s="101"/>
    </x:row>
    <x:row r="3">
      <x:c r="A3" s="86"/>
      <x:c r="B3" s="86"/>
      <x:c r="C3" s="86"/>
      <x:c r="D3" s="86"/>
      <x:c r="E3" s="86"/>
      <x:c r="F3" s="86"/>
      <x:c r="G3" s="86"/>
      <x:c r="H3" s="86"/>
    </x:row>
    <x:row r="4">
      <x:c r="A4" s="106" t="str">
        <x:v>证据类别</x:v>
      </x:c>
      <x:c r="B4" s="106" t="str">
        <x:v>字段/名称</x:v>
      </x:c>
      <x:c r="C4" s="106" t="str">
        <x:v>企查查返回值</x:v>
      </x:c>
      <x:c r="D4" s="106" t="str">
        <x:v>状态/日期</x:v>
      </x:c>
      <x:c r="E4" s="106" t="str">
        <x:v>本次处理</x:v>
      </x:c>
      <x:c r="F4" s="106" t="str">
        <x:v>工具代码</x:v>
      </x:c>
      <x:c r="G4" s="106" t="str">
        <x:v>数据来源</x:v>
      </x:c>
      <x:c r="H4" s="106" t="str">
        <x:v>备注</x:v>
      </x:c>
    </x:row>
    <x:row r="5">
      <x:c r="A5" s="111" t="str">
        <x:v>主体</x:v>
      </x:c>
      <x:c r="B5" s="111" t="str">
        <x:v>企业名称及信用代码</x:v>
      </x:c>
      <x:c r="C5" s="111"/>
      <x:c r="D5" s="111"/>
      <x:c r="E5" s="111"/>
      <x:c r="F5" s="111" t="str">
        <x:v>get_company_registration_info</x:v>
      </x:c>
      <x:c r="G5" s="111" t="str">
        <x:v>企查查</x:v>
      </x:c>
      <x:c r="H5" s="111"/>
    </x:row>
    <x:row r="6">
      <x:c r="A6" s="111" t="str">
        <x:v>主体</x:v>
      </x:c>
      <x:c r="B6" s="111" t="str">
        <x:v>登记状态及成立日期</x:v>
      </x:c>
      <x:c r="C6" s="111"/>
      <x:c r="D6" s="111"/>
      <x:c r="E6" s="111"/>
      <x:c r="F6" s="111" t="str">
        <x:v>get_company_registration_info</x:v>
      </x:c>
      <x:c r="G6" s="111" t="str">
        <x:v>企查查</x:v>
      </x:c>
      <x:c r="H6" s="111"/>
    </x:row>
    <x:row r="7">
      <x:c r="A7" s="111" t="str">
        <x:v>专利</x:v>
      </x:c>
      <x:c r="B7" s="111" t="str">
        <x:v>当前有效发明授权</x:v>
      </x:c>
      <x:c r="C7" s="111"/>
      <x:c r="D7" s="111"/>
      <x:c r="E7" s="111"/>
      <x:c r="F7" s="111" t="str">
        <x:v>get_patent_info</x:v>
      </x:c>
      <x:c r="G7" s="111" t="str">
        <x:v>企查查</x:v>
      </x:c>
      <x:c r="H7" s="111" t="str">
        <x:v>另核对评价截止日</x:v>
      </x:c>
    </x:row>
    <x:row r="8">
      <x:c r="A8" s="111" t="str">
        <x:v>专利</x:v>
      </x:c>
      <x:c r="B8" s="111" t="str">
        <x:v>其他当前有效专利</x:v>
      </x:c>
      <x:c r="C8" s="111"/>
      <x:c r="D8" s="111"/>
      <x:c r="E8" s="111"/>
      <x:c r="F8" s="111" t="str">
        <x:v>get_patent_info</x:v>
      </x:c>
      <x:c r="G8" s="111" t="str">
        <x:v>企查查</x:v>
      </x:c>
      <x:c r="H8" s="111"/>
    </x:row>
    <x:row r="9">
      <x:c r="A9" s="111" t="str">
        <x:v>资质</x:v>
      </x:c>
      <x:c r="B9" s="111" t="str">
        <x:v>管理体系认证</x:v>
      </x:c>
      <x:c r="C9" s="111"/>
      <x:c r="D9" s="111"/>
      <x:c r="E9" s="111"/>
      <x:c r="F9" s="111" t="str">
        <x:v>get_qualifications</x:v>
      </x:c>
      <x:c r="G9" s="111" t="str">
        <x:v>企查查</x:v>
      </x:c>
      <x:c r="H9" s="111" t="str">
        <x:v>只使用有效记录</x:v>
      </x:c>
    </x:row>
    <x:row r="10">
      <x:c r="A10" s="111" t="str">
        <x:v>资质</x:v>
      </x:c>
      <x:c r="B10" s="111" t="str">
        <x:v>产品认证</x:v>
      </x:c>
      <x:c r="C10" s="111"/>
      <x:c r="D10" s="111"/>
      <x:c r="E10" s="111"/>
      <x:c r="F10" s="111" t="str">
        <x:v>get_qualifications</x:v>
      </x:c>
      <x:c r="G10" s="111" t="str">
        <x:v>企查查</x:v>
      </x:c>
      <x:c r="H10" s="111" t="str">
        <x:v>核对与主导产品关系</x:v>
      </x:c>
    </x:row>
    <x:row r="11">
      <x:c r="A11" s="111" t="str">
        <x:v>荣誉</x:v>
      </x:c>
      <x:c r="B11" s="111" t="str">
        <x:v>专精特新及创新型中小企业</x:v>
      </x:c>
      <x:c r="C11" s="111"/>
      <x:c r="D11" s="111"/>
      <x:c r="E11" s="111"/>
      <x:c r="F11" s="111" t="str">
        <x:v>get_honor_info</x:v>
      </x:c>
      <x:c r="G11" s="111" t="str">
        <x:v>企查查</x:v>
      </x:c>
      <x:c r="H11" s="111"/>
    </x:row>
    <x:row r="12">
      <x:c r="A12" s="111" t="str">
        <x:v>荣誉</x:v>
      </x:c>
      <x:c r="B12" s="111" t="str">
        <x:v>高企、研发机构、智能工厂、绿色称号</x:v>
      </x:c>
      <x:c r="C12" s="111"/>
      <x:c r="D12" s="111"/>
      <x:c r="E12" s="111"/>
      <x:c r="F12" s="111" t="str">
        <x:v>get_honor_info</x:v>
      </x:c>
      <x:c r="G12" s="111" t="str">
        <x:v>企查查</x:v>
      </x:c>
      <x:c r="H12" s="111" t="str">
        <x:v>核对荣誉层级和有效年份</x:v>
      </x:c>
    </x:row>
    <x:row r="13">
      <x:c r="A13" s="111" t="str">
        <x:v>标准</x:v>
      </x:c>
      <x:c r="B13" s="111" t="str">
        <x:v>标准信息</x:v>
      </x:c>
      <x:c r="C13" s="111"/>
      <x:c r="D13" s="111"/>
      <x:c r="E13" s="111"/>
      <x:c r="F13" s="111" t="str">
        <x:v>get_standard_info</x:v>
      </x:c>
      <x:c r="G13" s="111" t="str">
        <x:v>企查查</x:v>
      </x:c>
      <x:c r="H13" s="111" t="str">
        <x:v>未返回起草角色时不直接计分</x:v>
      </x:c>
    </x:row>
    <x:row r="14">
      <x:c r="A14" s="111" t="str">
        <x:v>结论</x:v>
      </x:c>
      <x:c r="B14" s="111" t="str">
        <x:v>冲突、缺口与计分处理</x:v>
      </x:c>
      <x:c r="C14" s="111"/>
      <x:c r="D14" s="111"/>
      <x:c r="E14" s="111"/>
      <x:c r="F14" s="111"/>
      <x:c r="G14" s="111"/>
      <x:c r="H14" s="111"/>
    </x:row>
  </x:sheetData>
  <x:mergeCells>
    <x:mergeCell ref="A1:H1"/>
    <x:mergeCell ref="A2:H2"/>
  </x:mergeCells>
  <x:pageMargins left="0.7" right="0.7" top="0.75" bottom="0.75" header="0.3" footer="0.3"/>
</x:worksheet>
</file>